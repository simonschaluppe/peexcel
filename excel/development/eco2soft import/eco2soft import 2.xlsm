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ma1066\Desktop\"/>
    </mc:Choice>
  </mc:AlternateContent>
  <xr:revisionPtr revIDLastSave="0" documentId="13_ncr:1_{023D9AC3-3065-4BE6-823C-5B95A652B012}" xr6:coauthVersionLast="47" xr6:coauthVersionMax="47" xr10:uidLastSave="{00000000-0000-0000-0000-000000000000}"/>
  <bookViews>
    <workbookView xWindow="5895" yWindow="6165" windowWidth="21600" windowHeight="11295" activeTab="2" xr2:uid="{76B863ED-33C0-469B-A400-38E72D5B26F9}"/>
  </bookViews>
  <sheets>
    <sheet name="e2s" sheetId="1" r:id="rId1"/>
    <sheet name="Pivot" sheetId="2" r:id="rId2"/>
    <sheet name="GWP-Übersicht" sheetId="5" r:id="rId3"/>
  </sheets>
  <functionGroups builtInGroupCount="19"/>
  <externalReferences>
    <externalReference r:id="rId4"/>
  </externalReferences>
  <definedNames>
    <definedName name="_xleta.SUM" hidden="1" xlm="1">#NAME?</definedName>
    <definedName name="_xleta.SUMIF" hidden="1" xlm="1">#NAME?</definedName>
    <definedName name="Bauteile">e2s!$A$3:$DB$147</definedName>
    <definedName name="GFA_total">[1]IN!$K$234</definedName>
    <definedName name="GWP_names">[1]!GWP_Katalog[Name]</definedName>
    <definedName name="PV_module_area">[1]IN!$K$710</definedName>
    <definedName name="TGA_preset_names">[1]!TGA_presets[Name]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5" l="1"/>
  <c r="E17" i="5"/>
  <c r="C17" i="5"/>
  <c r="E10" i="5"/>
  <c r="E11" i="5"/>
  <c r="E12" i="5"/>
  <c r="E13" i="5"/>
  <c r="E14" i="5"/>
  <c r="D10" i="5"/>
  <c r="D11" i="5"/>
  <c r="D12" i="5"/>
  <c r="D13" i="5"/>
  <c r="D14" i="5"/>
  <c r="C11" i="5"/>
  <c r="C12" i="5"/>
  <c r="C13" i="5"/>
  <c r="C14" i="5"/>
  <c r="C10" i="5"/>
  <c r="C15" i="5" l="1"/>
  <c r="E15" i="5"/>
  <c r="D15" i="5"/>
</calcChain>
</file>

<file path=xl/sharedStrings.xml><?xml version="1.0" encoding="utf-8"?>
<sst xmlns="http://schemas.openxmlformats.org/spreadsheetml/2006/main" count="2744" uniqueCount="313">
  <si>
    <t>m²</t>
  </si>
  <si>
    <t>m</t>
  </si>
  <si>
    <t>Bauteiltyp</t>
  </si>
  <si>
    <t>AW01</t>
  </si>
  <si>
    <t>Brettsperrholz (475 kg/m³)</t>
  </si>
  <si>
    <t>gegen Außenluft - hinterlüftet</t>
  </si>
  <si>
    <t>Wand</t>
  </si>
  <si>
    <t>ROCKWOOL Klemmrock 035</t>
  </si>
  <si>
    <t>Konstruktionsvollholz (KVH)</t>
  </si>
  <si>
    <t>Holzspanplatte (zementgebunden) (1200 kg/m³)</t>
  </si>
  <si>
    <t>Unterdeck- und Unterspannbahn Wütop 170 SK</t>
  </si>
  <si>
    <t>Massivholzplatten (3-Schicht, 5-Schicht), Fichte/Tanne (475 kg/m³)</t>
  </si>
  <si>
    <t>Rema 3-S Massivholzplatte Fichte/Tanne/Lärche</t>
  </si>
  <si>
    <t>AW04a</t>
  </si>
  <si>
    <t>RÖFIX 350 Kalkglätte</t>
  </si>
  <si>
    <t>Spachtel - Gipsspachtel</t>
  </si>
  <si>
    <t>Stahlbeton 100 kg/m³ Armierungsstahl (1,25 Vol.%)</t>
  </si>
  <si>
    <t>ISOVER Integra AP Basic Aufsparren-Dämmplatte unkaschiert</t>
  </si>
  <si>
    <t>AW07</t>
  </si>
  <si>
    <t>Knauf Vidiwall Gipsfaserplatte</t>
  </si>
  <si>
    <t>Planum (Alu)</t>
  </si>
  <si>
    <t>AUSTROTHERM RESOLUTION Fassaden-Dämmplatte</t>
  </si>
  <si>
    <t>AW10</t>
  </si>
  <si>
    <t>FERMACELL Gipsfaserplatte</t>
  </si>
  <si>
    <t>ISOCELL AIRSTOP Dampfbremse</t>
  </si>
  <si>
    <t>Holzfaser WF-WV (130 kg/m³)</t>
  </si>
  <si>
    <t>Unterdeck- und Unterspannbahn Wütop Trio Strong</t>
  </si>
  <si>
    <t>DA01</t>
  </si>
  <si>
    <t>Betonplatten</t>
  </si>
  <si>
    <t>Flach- oder Schrägdach gegen Außenluft - nicht hinterlüftet - Wärmestrom nach oben</t>
  </si>
  <si>
    <t>Decke, Dach</t>
  </si>
  <si>
    <t>Schüttungen aus Sand, Kies, Splitt (1800 kg/m³)</t>
  </si>
  <si>
    <t>Vlies PP</t>
  </si>
  <si>
    <t>Polymerbitumen-Dichtungsbahn</t>
  </si>
  <si>
    <t>AUSTROTHERM EPS W25 PLUS</t>
  </si>
  <si>
    <t>AUSTROTHERM EPS T1000</t>
  </si>
  <si>
    <t>Aluminium-Bitumendichtungsbahn</t>
  </si>
  <si>
    <t>DA02a</t>
  </si>
  <si>
    <t>AUSTROTHERM EPS W25</t>
  </si>
  <si>
    <t>DA06</t>
  </si>
  <si>
    <t>Sand, Kies lufttrocken, Pflanzensubstrat</t>
  </si>
  <si>
    <t>Polyesterfaser-Dämmstoff</t>
  </si>
  <si>
    <t>BauderPIR Flachdachdämmplatten, dampfdifussionsdicht</t>
  </si>
  <si>
    <t>ROCKWOOL Hardrock 038</t>
  </si>
  <si>
    <t>Airstop Diva Dampfbremse</t>
  </si>
  <si>
    <t>CLT (Cross Laminated Timber) by Stora Enso</t>
  </si>
  <si>
    <t>DE01</t>
  </si>
  <si>
    <t>Polyolefin-Bodenbelag auf Basis von PE und PU (1300 kg/m³)</t>
  </si>
  <si>
    <t>Baumit Estriche und Faserestriche (E225, E300, E400)</t>
  </si>
  <si>
    <t>Trennlage Wütop Metall SK</t>
  </si>
  <si>
    <t>AUSTROTHERM EPS T650</t>
  </si>
  <si>
    <t>Airstop Diva + Dampfbremse</t>
  </si>
  <si>
    <t>Splittschüttung (zementgebunden)</t>
  </si>
  <si>
    <t>DE02</t>
  </si>
  <si>
    <t>Anhydritputz</t>
  </si>
  <si>
    <t>DE02b</t>
  </si>
  <si>
    <t>BACHL PE-Dampfbremsfolie Klasse E, B2, 100µm</t>
  </si>
  <si>
    <t>KI Kellerdeckendämmplatte KDP-B-035 plus</t>
  </si>
  <si>
    <t>DE02d</t>
  </si>
  <si>
    <t>DE08c</t>
  </si>
  <si>
    <t>Weitzer Fertigparkett 3-Schicht</t>
  </si>
  <si>
    <t>Baupapier</t>
  </si>
  <si>
    <t>Troldtekt Akustikplatten A2</t>
  </si>
  <si>
    <t>ISOVER Akustic EP 3</t>
  </si>
  <si>
    <t>STEICO LVL X Rimboard</t>
  </si>
  <si>
    <t>Leichtbetone mit Blähton oder Ziegelsplitt als Leichtgesteinskörnung (1500 kg/m³)</t>
  </si>
  <si>
    <t>KI Kellerdecken-Dämmplatte DP 6 GVN</t>
  </si>
  <si>
    <t>erdberührt - Wärmestrom nach unten</t>
  </si>
  <si>
    <t>Boden</t>
  </si>
  <si>
    <t>MITTE Außenwandflächen UG</t>
  </si>
  <si>
    <t>gegen Außenluft - nicht hinterlüftet</t>
  </si>
  <si>
    <t>MITTE Glaswandflächen Schallschutzloggien</t>
  </si>
  <si>
    <t>Glas (2500 kg/m³)</t>
  </si>
  <si>
    <t>MITTE Innenwandflächen UG STB</t>
  </si>
  <si>
    <t>innerhalb einer Wohn- und Betriebseinh. ohne U-Wert-Anforderung</t>
  </si>
  <si>
    <t>MITTE UG Decken nicht überbaut</t>
  </si>
  <si>
    <t>SÜD Außenwandflächen UG</t>
  </si>
  <si>
    <t>SÜD Innenwandflächen UG STB</t>
  </si>
  <si>
    <t>FE01</t>
  </si>
  <si>
    <t>Böhler HOLZ-FENSTER boe_classic + (Rahmen)</t>
  </si>
  <si>
    <t>in Wohngebäuden gegen Außenluft, 1 Flügel</t>
  </si>
  <si>
    <t>Fenster (transparentes Bauteil)</t>
  </si>
  <si>
    <t>Glas-Müller SGG CLIMATOP XN 0.5</t>
  </si>
  <si>
    <t>IW01</t>
  </si>
  <si>
    <t>Glaswolle MW(GW)-PT 10 (90 kg/m³)</t>
  </si>
  <si>
    <t>Nichttragend</t>
  </si>
  <si>
    <t>Gipskartonplatte (700 kg/m³)</t>
  </si>
  <si>
    <t>MITTE Stützen UG</t>
  </si>
  <si>
    <t>Stk.</t>
  </si>
  <si>
    <t>Sonstiges</t>
  </si>
  <si>
    <t>SÜD Stützen Laubengang O+P</t>
  </si>
  <si>
    <t>SÜD Stützen UG</t>
  </si>
  <si>
    <t>MITTE Bruttoflächen Balkone</t>
  </si>
  <si>
    <t>MITTE Flächen Schallschutzloggien (ohne EG)</t>
  </si>
  <si>
    <t>Zeilenbeschriftungen</t>
  </si>
  <si>
    <t>Gesamtergebnis</t>
  </si>
  <si>
    <t>Summe von Material GWP-total</t>
  </si>
  <si>
    <t>Summe von Material GWP-fossil</t>
  </si>
  <si>
    <t>Summe von Material GWP-biogenic</t>
  </si>
  <si>
    <t>^^</t>
  </si>
  <si>
    <t>(Leer)</t>
  </si>
  <si>
    <t>Summe von Bauteilfläche ges.</t>
  </si>
  <si>
    <t>a</t>
  </si>
  <si>
    <t>m² (?)</t>
  </si>
  <si>
    <t>m³ / m² Bt</t>
  </si>
  <si>
    <t>kg / m³</t>
  </si>
  <si>
    <t>kg / m² Bt</t>
  </si>
  <si>
    <t>FE Mat</t>
  </si>
  <si>
    <t>FE Mat / FE Bt</t>
  </si>
  <si>
    <t>FE</t>
  </si>
  <si>
    <t>FE / m² BZF</t>
  </si>
  <si>
    <t>Schulnote</t>
  </si>
  <si>
    <t>%</t>
  </si>
  <si>
    <t>pro m² Bt.</t>
  </si>
  <si>
    <t>MJ/Funkt. Einh.</t>
  </si>
  <si>
    <t>kg CO&lt;sub&gt;2&lt;/sub&gt; equ./Funkt. Einh.</t>
  </si>
  <si>
    <t>kg SO&lt;sub&gt;2&lt;/sub&gt; equ./Funkt. Einh.</t>
  </si>
  <si>
    <t>kg PO&lt;sub&gt;4&lt;/sub&gt;&lt;sup&gt;3-&lt;/sup&gt;/Funkt. Einh.</t>
  </si>
  <si>
    <t>kg C&lt;sub&gt;2&lt;/sub&gt;H&lt;sub&gt;4&lt;/sub&gt;/Funkt. Einh.</t>
  </si>
  <si>
    <t>kg CFC-11/Funkt. Einh.</t>
  </si>
  <si>
    <t>pro m² Bt</t>
  </si>
  <si>
    <t>bb_e2s_Gebaeude.S_Gebaeude</t>
  </si>
  <si>
    <t>bb_e2s_Gebaeude.Bezeichnung</t>
  </si>
  <si>
    <t>bb_e2s_Gebaeude.Betrachtungszeitraum</t>
  </si>
  <si>
    <t>bb_e2s_Gebaeude.Nutzungsdauer (als Zahl)</t>
  </si>
  <si>
    <t>bb_e2s_Gebaeude.NDK_Katalog_S (als Zahl)</t>
  </si>
  <si>
    <t>bb_e2s_Gebaeude.ZGRW_Katalog_S (als Zahl)</t>
  </si>
  <si>
    <t>bb_e2s_Gebaeude.BGF</t>
  </si>
  <si>
    <t>bb_e2s_Gebaeude: BGF+0.5*Nebenflaechen</t>
  </si>
  <si>
    <t>Summe Flächen BG-relevanter Bauteile</t>
  </si>
  <si>
    <t>Fläche bei BG# lc, KOF*3/(2+lc)</t>
  </si>
  <si>
    <t>Bauteil.S_Bauteil</t>
  </si>
  <si>
    <t>Bauteil.Bezeichnung</t>
  </si>
  <si>
    <t>Bauteil.Typ</t>
  </si>
  <si>
    <t>bb_e2s_Gebaeude_Bauteil_ZO.Flaeche</t>
  </si>
  <si>
    <t>Material_FRVP.R_Rahmenbreite</t>
  </si>
  <si>
    <t>Material.Info_S</t>
  </si>
  <si>
    <t>Material.Titel</t>
  </si>
  <si>
    <t>Schicht.Bezeichnung</t>
  </si>
  <si>
    <t>d</t>
  </si>
  <si>
    <t>bb_e2s_Gebaeude_Bauteil_ZO.Kategorie_S</t>
  </si>
  <si>
    <t>Kurztitel</t>
  </si>
  <si>
    <t>Bauteiltyp.Bezeichnung</t>
  </si>
  <si>
    <t>Bauteiltypgruppe.Bezeichnung_de</t>
  </si>
  <si>
    <t>Aufteilung</t>
  </si>
  <si>
    <t>Material.Funktionale_Einheit</t>
  </si>
  <si>
    <t>Bauteiltyp.Bauteil_Kategorie_S</t>
  </si>
  <si>
    <t>Kategorie.Titel</t>
  </si>
  <si>
    <t>Subschicht.U_relevant (db: 0/1)</t>
  </si>
  <si>
    <t>Anzahl Austauschzyklen</t>
  </si>
  <si>
    <t>damit wird gerechnet!</t>
  </si>
  <si>
    <t>bb_e2s_Nutzungsdauer_Kat.Nutzungsdauer bzw. bb_e2s_Gebaeude_NDKat_ZO.Nutzungsdauer</t>
  </si>
  <si>
    <t>bb_e2s_Nutzungsdauer_Kat.Bezeichnung_de</t>
  </si>
  <si>
    <t>Material_e2s.S_Nutzungsdauer</t>
  </si>
  <si>
    <t>override</t>
  </si>
  <si>
    <t>Subschicht.OI3_ab_BG bzw. Material.N_OI3_ab_BG</t>
  </si>
  <si>
    <t>Bauteil.OI3_relevant_ab_BG</t>
  </si>
  <si>
    <t>bb_e2s_Gebaeude.OI3_BG</t>
  </si>
  <si>
    <t>Gebäudeschlüssel</t>
  </si>
  <si>
    <t>Gebäudebezeichnung</t>
  </si>
  <si>
    <t>Betrachtungszeitraum</t>
  </si>
  <si>
    <t>Nutzungsdauer</t>
  </si>
  <si>
    <t>Nutzungsdauerkatalog</t>
  </si>
  <si>
    <t>Bezugsgröße, Kürzel</t>
  </si>
  <si>
    <t>Bezugsgröße, Zahlenwert</t>
  </si>
  <si>
    <t>Bezugsgröße, Einheit</t>
  </si>
  <si>
    <t>Richtwertekatalog</t>
  </si>
  <si>
    <t>BGF</t>
  </si>
  <si>
    <t>BZF</t>
  </si>
  <si>
    <t>KOF</t>
  </si>
  <si>
    <t>KOF lc</t>
  </si>
  <si>
    <t>Sanierungsjahr</t>
  </si>
  <si>
    <t>Bauteil-Schlüssel</t>
  </si>
  <si>
    <t>Bauteilbezeichnung</t>
  </si>
  <si>
    <t>Bauteiltyp-Schlüssel</t>
  </si>
  <si>
    <t>Gebäudeteil</t>
  </si>
  <si>
    <t>sonstige nuw</t>
  </si>
  <si>
    <t>Bauteilfläche ges.</t>
  </si>
  <si>
    <t>Rahmenbreite</t>
  </si>
  <si>
    <t>Material-Schlüssel</t>
  </si>
  <si>
    <t>Materialbezeichnung</t>
  </si>
  <si>
    <t>Schichtbezeichnung</t>
  </si>
  <si>
    <t>Schicht-Dicke</t>
  </si>
  <si>
    <t>1. S_Kategorie</t>
  </si>
  <si>
    <t>1. Bauteil-Kategorie</t>
  </si>
  <si>
    <t>2. S_Kategorie</t>
  </si>
  <si>
    <t>2. Bauteil-Kategorie</t>
  </si>
  <si>
    <t>3. S_Kategorie</t>
  </si>
  <si>
    <t>3. Bauteil-Kategorie</t>
  </si>
  <si>
    <t>Bauteiltypgruppe</t>
  </si>
  <si>
    <t>Schichtanteil</t>
  </si>
  <si>
    <t>Volumen</t>
  </si>
  <si>
    <t>Dichte</t>
  </si>
  <si>
    <t>Masse</t>
  </si>
  <si>
    <t>Menge</t>
  </si>
  <si>
    <t>Menge Final</t>
  </si>
  <si>
    <t>Menge Final Gesamt</t>
  </si>
  <si>
    <t>Menge pro m² BZF</t>
  </si>
  <si>
    <t>FE_Bauteil</t>
  </si>
  <si>
    <t>FE_Material</t>
  </si>
  <si>
    <t>Kategorie-Schlüssel</t>
  </si>
  <si>
    <t>Kategorie</t>
  </si>
  <si>
    <t>Schichtsortierung</t>
  </si>
  <si>
    <t>Schichtsortierung_inh</t>
  </si>
  <si>
    <t>Schicht_U_relevant</t>
  </si>
  <si>
    <t>Schicht_ND_Anzahl</t>
  </si>
  <si>
    <t>Schicht_ND_FINAL</t>
  </si>
  <si>
    <t>Schicht_ND_Kat Jahre</t>
  </si>
  <si>
    <t>Schicht_ND_Kat_Bezeichnung</t>
  </si>
  <si>
    <t>Schicht_ND_eigene_Eingabe</t>
  </si>
  <si>
    <t>Baujahr</t>
  </si>
  <si>
    <t>Entsorgung_Ist</t>
  </si>
  <si>
    <t>Entsorgung_Pot</t>
  </si>
  <si>
    <t>Entsorgung_Min</t>
  </si>
  <si>
    <t>Entsorgung_Org</t>
  </si>
  <si>
    <t>Entsorgung_Met</t>
  </si>
  <si>
    <t>EI-Summand</t>
  </si>
  <si>
    <t>Material PENRT</t>
  </si>
  <si>
    <t>Material PENRE</t>
  </si>
  <si>
    <t>Material PENRM</t>
  </si>
  <si>
    <t>Material PERT</t>
  </si>
  <si>
    <t>Material PERE</t>
  </si>
  <si>
    <t>Material PERM</t>
  </si>
  <si>
    <t>Material GWP-total</t>
  </si>
  <si>
    <t>Material GWP-fossil</t>
  </si>
  <si>
    <t>Material GWP-biogenic</t>
  </si>
  <si>
    <t>Material AP</t>
  </si>
  <si>
    <t>Material EP</t>
  </si>
  <si>
    <t>Material POCP</t>
  </si>
  <si>
    <t>Material ODP</t>
  </si>
  <si>
    <t>OI3_ab_BG: (Sub)Schicht/nuwrb</t>
  </si>
  <si>
    <t>OI3_ab_BG: Bauteil</t>
  </si>
  <si>
    <t>OI3_BG: Gebäude</t>
  </si>
  <si>
    <t>m² Bt PENRT</t>
  </si>
  <si>
    <t>m² Bt PENRE</t>
  </si>
  <si>
    <t>m² Bt PENRM</t>
  </si>
  <si>
    <t>m² Bt PERT</t>
  </si>
  <si>
    <t>m² Bt PERE</t>
  </si>
  <si>
    <t>m² Bt PERM</t>
  </si>
  <si>
    <t>m² Bt GWP-total</t>
  </si>
  <si>
    <t>m² Bt GWP-fossil</t>
  </si>
  <si>
    <t>m² Bt GWP-biogenic</t>
  </si>
  <si>
    <t>m² Bt AP</t>
  </si>
  <si>
    <t>m² Bt EP</t>
  </si>
  <si>
    <t>m² Bt POCP</t>
  </si>
  <si>
    <t>m² Bt ODP</t>
  </si>
  <si>
    <t>Delta-OI3</t>
  </si>
  <si>
    <t>OI-KON</t>
  </si>
  <si>
    <t>Geb PENRT</t>
  </si>
  <si>
    <t>Geb PENRE</t>
  </si>
  <si>
    <t>Geb PENRM</t>
  </si>
  <si>
    <t>Geb PERT</t>
  </si>
  <si>
    <t>Geb PERE</t>
  </si>
  <si>
    <t>Geb PERM</t>
  </si>
  <si>
    <t>Geb GWP-total</t>
  </si>
  <si>
    <t>Geb GWP-fossil</t>
  </si>
  <si>
    <t>Geb GWP-biogenic</t>
  </si>
  <si>
    <t>Geb AP</t>
  </si>
  <si>
    <t>Geb EP</t>
  </si>
  <si>
    <t>Geb POCP</t>
  </si>
  <si>
    <t>Geb ODP</t>
  </si>
  <si>
    <t>ja, ganzzahlig (1)</t>
  </si>
  <si>
    <t>opake Bauteile</t>
  </si>
  <si>
    <t>nein</t>
  </si>
  <si>
    <t>kg</t>
  </si>
  <si>
    <t>Bauteile aus dem Energieausweis</t>
  </si>
  <si>
    <t>ja</t>
  </si>
  <si>
    <t>Primärkonstruktion - Tragkonstruktion</t>
  </si>
  <si>
    <t>sonstige</t>
  </si>
  <si>
    <t>transp. Bauteile</t>
  </si>
  <si>
    <t>Rahmen</t>
  </si>
  <si>
    <t>R</t>
  </si>
  <si>
    <t>Fenster</t>
  </si>
  <si>
    <t>Verglasung</t>
  </si>
  <si>
    <t>V</t>
  </si>
  <si>
    <t>Innenwände</t>
  </si>
  <si>
    <t>Bauteil</t>
  </si>
  <si>
    <t>Global Warming Potential der Bauteile</t>
  </si>
  <si>
    <t>Bezugsgröße</t>
  </si>
  <si>
    <t>kgCO2eq/m²BGF</t>
  </si>
  <si>
    <t>Beschreibung</t>
  </si>
  <si>
    <t>GWP Total</t>
  </si>
  <si>
    <t>GWP Fossil</t>
  </si>
  <si>
    <t>GWP Biogen</t>
  </si>
  <si>
    <t>Südtiroler Siedlung Salzburg v2</t>
  </si>
  <si>
    <t>Sekundärkonstruktion</t>
  </si>
  <si>
    <t>Gebäudeabdichtung/Folien, 25a</t>
  </si>
  <si>
    <t>Putze/Untergrund</t>
  </si>
  <si>
    <t>Tertiärkonstruktion - Boden- und Wandbeläge, 50a</t>
  </si>
  <si>
    <t>Gebäudeabdichtung/Folien, 35a</t>
  </si>
  <si>
    <t>Tarkett Linoleumböden</t>
  </si>
  <si>
    <t>Tertiärkonstruktion - Boden- und Wandbeläge, 25a</t>
  </si>
  <si>
    <t>EPS</t>
  </si>
  <si>
    <t>Sekundärkonstruktion - WDVS</t>
  </si>
  <si>
    <t>Höhenausgleichsplatte</t>
  </si>
  <si>
    <t>FPL04</t>
  </si>
  <si>
    <t>Fliesen (2300 kg/m³)</t>
  </si>
  <si>
    <t>Knauf Brio Fertigteilestriche</t>
  </si>
  <si>
    <t>Würth Dampfsperre Wütop DS Alu</t>
  </si>
  <si>
    <t>AUSTROTHERM XPS TOP 30 SF</t>
  </si>
  <si>
    <t>MITTE Gesamtfundamentplatte UG</t>
  </si>
  <si>
    <t>SÜD Betonfläche Laubengang OP+Treppenhäuser</t>
  </si>
  <si>
    <t>Normalbeton Durchschnitt mit CEM II/A</t>
  </si>
  <si>
    <t>SÜD Gesamtfundamentplatte UG</t>
  </si>
  <si>
    <t>Untergeschoss (Tiefgaragen, Keller)</t>
  </si>
  <si>
    <t>Balkone und Terrassen</t>
  </si>
  <si>
    <t>Summe von Geb GWP-total</t>
  </si>
  <si>
    <t>Summe von Geb GWP-fossil</t>
  </si>
  <si>
    <t>Summe von Geb GWP-biogenic</t>
  </si>
  <si>
    <t>Max. von Schicht_ND_FINAL</t>
  </si>
  <si>
    <t>Bauteil-Aufschlüssellung nach Kategorie &amp; Gruppe</t>
  </si>
  <si>
    <t>Max. von Schichtsortierung_inh</t>
  </si>
  <si>
    <t>Summe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</si>
</sst>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 m²&quot;;;&quot;&quot;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3" tint="-0.499984740745262"/>
      <name val="Calibri"/>
      <family val="2"/>
    </font>
    <font>
      <b/>
      <sz val="11"/>
      <color theme="5" tint="-0.24994659260841701"/>
      <name val="Calibri"/>
      <family val="2"/>
    </font>
    <font>
      <b/>
      <sz val="14"/>
      <color rgb="FF000000"/>
      <name val="Aptos Narrow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FF0000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33" borderId="11" applyAlignment="0">
      <alignment horizontal="center" vertical="center"/>
      <protection locked="0"/>
    </xf>
    <xf numFmtId="164" fontId="1" fillId="0" borderId="0" applyFont="0" applyFill="0" applyBorder="0" applyAlignment="0" applyProtection="0"/>
    <xf numFmtId="0" fontId="20" fillId="34" borderId="12" applyNumberFormat="0" applyAlignment="0">
      <alignment horizontal="center" vertical="center"/>
      <protection locked="0"/>
    </xf>
  </cellStyleXfs>
  <cellXfs count="15">
    <xf numFmtId="0" fontId="0" fillId="0" borderId="0" xfId="0"/>
    <xf numFmtId="9" fontId="0" fillId="0" borderId="0" xfId="0" applyNumberFormat="1"/>
    <xf numFmtId="11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2" fontId="0" fillId="0" borderId="0" xfId="0" applyNumberFormat="1"/>
    <xf numFmtId="1" fontId="0" fillId="0" borderId="0" xfId="0" applyNumberFormat="1"/>
    <xf numFmtId="0" fontId="18" fillId="0" borderId="10" xfId="0" applyFont="1" applyBorder="1"/>
    <xf numFmtId="0" fontId="16" fillId="0" borderId="0" xfId="0" applyFont="1"/>
    <xf numFmtId="2" fontId="16" fillId="0" borderId="0" xfId="0" applyNumberFormat="1" applyFont="1"/>
    <xf numFmtId="0" fontId="16" fillId="0" borderId="0" xfId="0" applyFont="1" applyAlignment="1">
      <alignment horizontal="right"/>
    </xf>
  </cellXfs>
  <cellStyles count="4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Defaultwert" xfId="44" xr:uid="{21BA8387-4CDB-4DBC-A503-107B76B5E17C}"/>
    <cellStyle name="Eingabe" xfId="9" builtinId="20" customBuiltin="1"/>
    <cellStyle name="Ergebnis" xfId="17" builtinId="25" customBuiltin="1"/>
    <cellStyle name="Erklärender Text" xfId="16" builtinId="53" customBuiltin="1"/>
    <cellStyle name="Fläche" xfId="43" xr:uid="{6BF18757-9E20-4647-A0C0-A90AD36270E9}"/>
    <cellStyle name="Gut" xfId="6" builtinId="26" customBuiltin="1"/>
    <cellStyle name="Neutral" xfId="8" builtinId="28" customBuiltin="1"/>
    <cellStyle name="Notiz" xfId="15" builtinId="10" customBuiltin="1"/>
    <cellStyle name="Preset" xfId="42" xr:uid="{65534892-817F-4D9F-94A7-E6FF74A882BA}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7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[eco2soft import.xlsm]Pivot!PivotTable1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Pivot!$B$1</c:f>
              <c:strCache>
                <c:ptCount val="1"/>
                <c:pt idx="0">
                  <c:v>Summe von Bauteilfläche ges.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Pivot!$A$2:$A$161</c:f>
              <c:multiLvlStrCache>
                <c:ptCount val="118"/>
                <c:lvl>
                  <c:pt idx="0">
                    <c:v>Stahlbeton 100 kg/m³ Armierungsstahl (1,25 Vol.%)</c:v>
                  </c:pt>
                  <c:pt idx="1">
                    <c:v>Stahlbeton 100 kg/m³ Armierungsstahl (1,25 Vol.%)</c:v>
                  </c:pt>
                  <c:pt idx="3">
                    <c:v>Aluminium-Bitumendichtungsbahn</c:v>
                  </c:pt>
                  <c:pt idx="4">
                    <c:v>AUSTROTHERM EPS T1000</c:v>
                  </c:pt>
                  <c:pt idx="5">
                    <c:v>AUSTROTHERM EPS W25 PLUS</c:v>
                  </c:pt>
                  <c:pt idx="6">
                    <c:v>Brettsperrholz (475 kg/m³)</c:v>
                  </c:pt>
                  <c:pt idx="7">
                    <c:v>Polymerbitumen-Dichtungsbahn</c:v>
                  </c:pt>
                  <c:pt idx="8">
                    <c:v>Schüttungen aus Sand, Kies, Splitt (1800 kg/m³)</c:v>
                  </c:pt>
                  <c:pt idx="9">
                    <c:v>Vlies PP</c:v>
                  </c:pt>
                  <c:pt idx="10">
                    <c:v>Aluminium-Bitumendichtungsbahn</c:v>
                  </c:pt>
                  <c:pt idx="11">
                    <c:v>AUSTROTHERM EPS W25</c:v>
                  </c:pt>
                  <c:pt idx="12">
                    <c:v>Betonplatten</c:v>
                  </c:pt>
                  <c:pt idx="13">
                    <c:v>Polymerbitumen-Dichtungsbahn</c:v>
                  </c:pt>
                  <c:pt idx="14">
                    <c:v>RÖFIX 350 Kalkglätte</c:v>
                  </c:pt>
                  <c:pt idx="15">
                    <c:v>Schüttungen aus Sand, Kies, Splitt (1800 kg/m³)</c:v>
                  </c:pt>
                  <c:pt idx="16">
                    <c:v>Spachtel - Gipsspachtel</c:v>
                  </c:pt>
                  <c:pt idx="17">
                    <c:v>Stahlbeton 100 kg/m³ Armierungsstahl (1,25 Vol.%)</c:v>
                  </c:pt>
                  <c:pt idx="18">
                    <c:v>Vlies PP</c:v>
                  </c:pt>
                  <c:pt idx="19">
                    <c:v>Airstop Diva Dampfbremse</c:v>
                  </c:pt>
                  <c:pt idx="20">
                    <c:v>BauderPIR Flachdachdämmplatten, dampfdifussionsdicht</c:v>
                  </c:pt>
                  <c:pt idx="21">
                    <c:v>CLT (Cross Laminated Timber) by Stora Enso</c:v>
                  </c:pt>
                  <c:pt idx="22">
                    <c:v>Knauf Vidiwall Gipsfaserplatte</c:v>
                  </c:pt>
                  <c:pt idx="23">
                    <c:v>Polyesterfaser-Dämmstoff</c:v>
                  </c:pt>
                  <c:pt idx="24">
                    <c:v>Polymerbitumen-Dichtungsbahn</c:v>
                  </c:pt>
                  <c:pt idx="25">
                    <c:v>ROCKWOOL Hardrock 038</c:v>
                  </c:pt>
                  <c:pt idx="26">
                    <c:v>RÖFIX 350 Kalkglätte</c:v>
                  </c:pt>
                  <c:pt idx="27">
                    <c:v>Sand, Kies lufttrocken, Pflanzensubstrat</c:v>
                  </c:pt>
                  <c:pt idx="28">
                    <c:v>Spachtel - Gipsspachtel</c:v>
                  </c:pt>
                  <c:pt idx="29">
                    <c:v>Vlies PP</c:v>
                  </c:pt>
                  <c:pt idx="30">
                    <c:v>Airstop Diva + Dampfbremse</c:v>
                  </c:pt>
                  <c:pt idx="31">
                    <c:v>AUSTROTHERM EPS T650</c:v>
                  </c:pt>
                  <c:pt idx="32">
                    <c:v>Baumit Estriche und Faserestriche (E225, E300, E400)</c:v>
                  </c:pt>
                  <c:pt idx="33">
                    <c:v>Massivholzplatten (3-Schicht, 5-Schicht), Fichte/Tanne (475 kg/m³)</c:v>
                  </c:pt>
                  <c:pt idx="34">
                    <c:v>Polyolefin-Bodenbelag auf Basis von PE und PU (1300 kg/m³)</c:v>
                  </c:pt>
                  <c:pt idx="35">
                    <c:v>Splittschüttung (zementgebunden)</c:v>
                  </c:pt>
                  <c:pt idx="36">
                    <c:v>Trennlage Wütop Metall SK</c:v>
                  </c:pt>
                  <c:pt idx="37">
                    <c:v>Airstop Diva + Dampfbremse</c:v>
                  </c:pt>
                  <c:pt idx="38">
                    <c:v>Anhydritputz</c:v>
                  </c:pt>
                  <c:pt idx="39">
                    <c:v>AUSTROTHERM EPS T650</c:v>
                  </c:pt>
                  <c:pt idx="40">
                    <c:v>Baumit Estriche und Faserestriche (E225, E300, E400)</c:v>
                  </c:pt>
                  <c:pt idx="41">
                    <c:v>Polyolefin-Bodenbelag auf Basis von PE und PU (1300 kg/m³)</c:v>
                  </c:pt>
                  <c:pt idx="42">
                    <c:v>Splittschüttung (zementgebunden)</c:v>
                  </c:pt>
                  <c:pt idx="43">
                    <c:v>Stahlbeton 100 kg/m³ Armierungsstahl (1,25 Vol.%)</c:v>
                  </c:pt>
                  <c:pt idx="44">
                    <c:v>Trennlage Wütop Metall SK</c:v>
                  </c:pt>
                  <c:pt idx="45">
                    <c:v>Airstop Diva + Dampfbremse</c:v>
                  </c:pt>
                  <c:pt idx="46">
                    <c:v>AUSTROTHERM EPS T650</c:v>
                  </c:pt>
                  <c:pt idx="47">
                    <c:v>BACHL PE-Dampfbremsfolie Klasse E, B2, 100µm</c:v>
                  </c:pt>
                  <c:pt idx="48">
                    <c:v>Baumit Estriche und Faserestriche (E225, E300, E400)</c:v>
                  </c:pt>
                  <c:pt idx="49">
                    <c:v>KI Kellerdeckendämmplatte KDP-B-035 plus</c:v>
                  </c:pt>
                  <c:pt idx="50">
                    <c:v>Polyolefin-Bodenbelag auf Basis von PE und PU (1300 kg/m³)</c:v>
                  </c:pt>
                  <c:pt idx="51">
                    <c:v>Splittschüttung (zementgebunden)</c:v>
                  </c:pt>
                  <c:pt idx="52">
                    <c:v>Stahlbeton 100 kg/m³ Armierungsstahl (1,25 Vol.%)</c:v>
                  </c:pt>
                  <c:pt idx="53">
                    <c:v>Airstop Diva + Dampfbremse</c:v>
                  </c:pt>
                  <c:pt idx="54">
                    <c:v>AUSTROTHERM EPS T650</c:v>
                  </c:pt>
                  <c:pt idx="55">
                    <c:v>Baumit Estriche und Faserestriche (E225, E300, E400)</c:v>
                  </c:pt>
                  <c:pt idx="56">
                    <c:v>KI Kellerdeckendämmplatte KDP-B-035 plus</c:v>
                  </c:pt>
                  <c:pt idx="57">
                    <c:v>Polyolefin-Bodenbelag auf Basis von PE und PU (1300 kg/m³)</c:v>
                  </c:pt>
                  <c:pt idx="58">
                    <c:v>Splittschüttung (zementgebunden)</c:v>
                  </c:pt>
                  <c:pt idx="59">
                    <c:v>Stahlbeton 100 kg/m³ Armierungsstahl (1,25 Vol.%)</c:v>
                  </c:pt>
                  <c:pt idx="60">
                    <c:v>Trennlage Wütop Metall SK</c:v>
                  </c:pt>
                  <c:pt idx="61">
                    <c:v>Baumit Estriche und Faserestriche (E225, E300, E400)</c:v>
                  </c:pt>
                  <c:pt idx="62">
                    <c:v>Baupapier</c:v>
                  </c:pt>
                  <c:pt idx="63">
                    <c:v>ISOCELL AIRSTOP Dampfbremse</c:v>
                  </c:pt>
                  <c:pt idx="64">
                    <c:v>ISOVER Akustic EP 3</c:v>
                  </c:pt>
                  <c:pt idx="65">
                    <c:v>KI Kellerdecken-Dämmplatte DP 6 GVN</c:v>
                  </c:pt>
                  <c:pt idx="66">
                    <c:v>Knauf Vidiwall Gipsfaserplatte</c:v>
                  </c:pt>
                  <c:pt idx="67">
                    <c:v>Leichtbetone mit Blähton oder Ziegelsplitt als Leichtgesteinskörnung (1500 kg/m³)</c:v>
                  </c:pt>
                  <c:pt idx="68">
                    <c:v>STEICO LVL X Rimboard</c:v>
                  </c:pt>
                  <c:pt idx="69">
                    <c:v>Trennlage Wütop Metall SK</c:v>
                  </c:pt>
                  <c:pt idx="70">
                    <c:v>Troldtekt Akustikplatten A2</c:v>
                  </c:pt>
                  <c:pt idx="71">
                    <c:v>Weitzer Fertigparkett 3-Schicht</c:v>
                  </c:pt>
                  <c:pt idx="72">
                    <c:v>Stahlbeton 100 kg/m³ Armierungsstahl (1,25 Vol.%)</c:v>
                  </c:pt>
                  <c:pt idx="73">
                    <c:v>Betonplatten</c:v>
                  </c:pt>
                  <c:pt idx="74">
                    <c:v>Böhler HOLZ-FENSTER boe_classic + (Rahmen)</c:v>
                  </c:pt>
                  <c:pt idx="75">
                    <c:v>Glas-Müller SGG CLIMATOP XN 0.5</c:v>
                  </c:pt>
                  <c:pt idx="76">
                    <c:v>Stahlbeton 100 kg/m³ Armierungsstahl (1,25 Vol.%)</c:v>
                  </c:pt>
                  <c:pt idx="77">
                    <c:v>Stahlbeton 100 kg/m³ Armierungsstahl (1,25 Vol.%)</c:v>
                  </c:pt>
                  <c:pt idx="78">
                    <c:v>Stahlbeton 100 kg/m³ Armierungsstahl (1,25 Vol.%)</c:v>
                  </c:pt>
                  <c:pt idx="79">
                    <c:v>Brettsperrholz (475 kg/m³)</c:v>
                  </c:pt>
                  <c:pt idx="80">
                    <c:v>Holzspanplatte (zementgebunden) (1200 kg/m³)</c:v>
                  </c:pt>
                  <c:pt idx="81">
                    <c:v>Konstruktionsvollholz (KVH)</c:v>
                  </c:pt>
                  <c:pt idx="82">
                    <c:v>Massivholzplatten (3-Schicht, 5-Schicht), Fichte/Tanne (475 kg/m³)</c:v>
                  </c:pt>
                  <c:pt idx="83">
                    <c:v>Rema 3-S Massivholzplatte Fichte/Tanne/Lärche</c:v>
                  </c:pt>
                  <c:pt idx="84">
                    <c:v>ROCKWOOL Klemmrock 035</c:v>
                  </c:pt>
                  <c:pt idx="85">
                    <c:v>Unterdeck- und Unterspannbahn Wütop 170 SK</c:v>
                  </c:pt>
                  <c:pt idx="86">
                    <c:v>ISOVER Integra AP Basic Aufsparren-Dämmplatte unkaschiert</c:v>
                  </c:pt>
                  <c:pt idx="87">
                    <c:v>Massivholzplatten (3-Schicht, 5-Schicht), Fichte/Tanne (475 kg/m³)</c:v>
                  </c:pt>
                  <c:pt idx="88">
                    <c:v>Rema 3-S Massivholzplatte Fichte/Tanne/Lärche</c:v>
                  </c:pt>
                  <c:pt idx="89">
                    <c:v>RÖFIX 350 Kalkglätte</c:v>
                  </c:pt>
                  <c:pt idx="90">
                    <c:v>Spachtel - Gipsspachtel</c:v>
                  </c:pt>
                  <c:pt idx="91">
                    <c:v>Stahlbeton 100 kg/m³ Armierungsstahl (1,25 Vol.%)</c:v>
                  </c:pt>
                  <c:pt idx="92">
                    <c:v>Unterdeck- und Unterspannbahn Wütop 170 SK</c:v>
                  </c:pt>
                  <c:pt idx="93">
                    <c:v>AUSTROTHERM RESOLUTION Fassaden-Dämmplatte</c:v>
                  </c:pt>
                  <c:pt idx="94">
                    <c:v>Knauf Vidiwall Gipsfaserplatte</c:v>
                  </c:pt>
                  <c:pt idx="95">
                    <c:v>Konstruktionsvollholz (KVH)</c:v>
                  </c:pt>
                  <c:pt idx="96">
                    <c:v>Planum (Alu)</c:v>
                  </c:pt>
                  <c:pt idx="97">
                    <c:v>ROCKWOOL Klemmrock 035</c:v>
                  </c:pt>
                  <c:pt idx="98">
                    <c:v>RÖFIX 350 Kalkglätte</c:v>
                  </c:pt>
                  <c:pt idx="99">
                    <c:v>Spachtel - Gipsspachtel</c:v>
                  </c:pt>
                  <c:pt idx="100">
                    <c:v>Unterdeck- und Unterspannbahn Wütop 170 SK</c:v>
                  </c:pt>
                  <c:pt idx="101">
                    <c:v>AUSTROTHERM RESOLUTION Fassaden-Dämmplatte</c:v>
                  </c:pt>
                  <c:pt idx="102">
                    <c:v>FERMACELL Gipsfaserplatte</c:v>
                  </c:pt>
                  <c:pt idx="103">
                    <c:v>Holzfaser WF-WV (130 kg/m³)</c:v>
                  </c:pt>
                  <c:pt idx="104">
                    <c:v>ISOCELL AIRSTOP Dampfbremse</c:v>
                  </c:pt>
                  <c:pt idx="105">
                    <c:v>Konstruktionsvollholz (KVH)</c:v>
                  </c:pt>
                  <c:pt idx="106">
                    <c:v>Massivholzplatten (3-Schicht, 5-Schicht), Fichte/Tanne (475 kg/m³)</c:v>
                  </c:pt>
                  <c:pt idx="107">
                    <c:v>ROCKWOOL Klemmrock 035</c:v>
                  </c:pt>
                  <c:pt idx="108">
                    <c:v>Spachtel - Gipsspachtel</c:v>
                  </c:pt>
                  <c:pt idx="109">
                    <c:v>Unterdeck- und Unterspannbahn Wütop Trio Strong</c:v>
                  </c:pt>
                  <c:pt idx="110">
                    <c:v>Stahlbeton 100 kg/m³ Armierungsstahl (1,25 Vol.%)</c:v>
                  </c:pt>
                  <c:pt idx="111">
                    <c:v>Glas (2500 kg/m³)</c:v>
                  </c:pt>
                  <c:pt idx="112">
                    <c:v>Stahlbeton 100 kg/m³ Armierungsstahl (1,25 Vol.%)</c:v>
                  </c:pt>
                  <c:pt idx="113">
                    <c:v>Stahlbeton 100 kg/m³ Armierungsstahl (1,25 Vol.%)</c:v>
                  </c:pt>
                  <c:pt idx="114">
                    <c:v>Gipskartonplatte (700 kg/m³)</c:v>
                  </c:pt>
                  <c:pt idx="115">
                    <c:v>Glaswolle MW(GW)-PT 10 (90 kg/m³)</c:v>
                  </c:pt>
                  <c:pt idx="116">
                    <c:v>RÖFIX 350 Kalkglätte</c:v>
                  </c:pt>
                  <c:pt idx="117">
                    <c:v>Stahlbeton 100 kg/m³ Armierungsstahl (1,25 Vol.%)</c:v>
                  </c:pt>
                </c:lvl>
                <c:lvl>
                  <c:pt idx="0">
                    <c:v>MITTE Bruttoflächen Balkone</c:v>
                  </c:pt>
                  <c:pt idx="1">
                    <c:v>MITTE Flächen Schallschutzloggien (ohne EG)</c:v>
                  </c:pt>
                  <c:pt idx="3">
                    <c:v>DA01</c:v>
                  </c:pt>
                  <c:pt idx="10">
                    <c:v>DA02a</c:v>
                  </c:pt>
                  <c:pt idx="19">
                    <c:v>DA06</c:v>
                  </c:pt>
                  <c:pt idx="30">
                    <c:v>DE01</c:v>
                  </c:pt>
                  <c:pt idx="37">
                    <c:v>DE02</c:v>
                  </c:pt>
                  <c:pt idx="45">
                    <c:v>DE02b</c:v>
                  </c:pt>
                  <c:pt idx="53">
                    <c:v>DE02d</c:v>
                  </c:pt>
                  <c:pt idx="61">
                    <c:v>DE08c</c:v>
                  </c:pt>
                  <c:pt idx="72">
                    <c:v>MITTE UG Decken nicht überbaut</c:v>
                  </c:pt>
                  <c:pt idx="73">
                    <c:v>DA01</c:v>
                  </c:pt>
                  <c:pt idx="74">
                    <c:v>FE01</c:v>
                  </c:pt>
                  <c:pt idx="76">
                    <c:v>MITTE Stützen UG</c:v>
                  </c:pt>
                  <c:pt idx="77">
                    <c:v>SÜD Stützen Laubengang O+P</c:v>
                  </c:pt>
                  <c:pt idx="78">
                    <c:v>SÜD Stützen UG</c:v>
                  </c:pt>
                  <c:pt idx="79">
                    <c:v>AW01</c:v>
                  </c:pt>
                  <c:pt idx="86">
                    <c:v>AW04a</c:v>
                  </c:pt>
                  <c:pt idx="93">
                    <c:v>AW07</c:v>
                  </c:pt>
                  <c:pt idx="101">
                    <c:v>AW10</c:v>
                  </c:pt>
                  <c:pt idx="110">
                    <c:v>MITTE Außenwandflächen UG</c:v>
                  </c:pt>
                  <c:pt idx="111">
                    <c:v>MITTE Glaswandflächen Schallschutzloggien</c:v>
                  </c:pt>
                  <c:pt idx="112">
                    <c:v>MITTE Innenwandflächen UG STB</c:v>
                  </c:pt>
                  <c:pt idx="113">
                    <c:v>SÜD Innenwandflächen UG STB</c:v>
                  </c:pt>
                  <c:pt idx="114">
                    <c:v>IW01</c:v>
                  </c:pt>
                  <c:pt idx="117">
                    <c:v>SÜD Außenwandflächen UG</c:v>
                  </c:pt>
                </c:lvl>
                <c:lvl>
                  <c:pt idx="0">
                    <c:v>Boden</c:v>
                  </c:pt>
                  <c:pt idx="2">
                    <c:v>erdberührt - Wärmestrom nach unten</c:v>
                  </c:pt>
                  <c:pt idx="3">
                    <c:v>Flach- oder Schrägdach gegen Außenluft - nicht hinterlüftet - Wärmestrom nach oben</c:v>
                  </c:pt>
                  <c:pt idx="73">
                    <c:v>^^</c:v>
                  </c:pt>
                  <c:pt idx="74">
                    <c:v>in Wohngebäuden gegen Außenluft, 1 Flügel</c:v>
                  </c:pt>
                  <c:pt idx="76">
                    <c:v>Stk.</c:v>
                  </c:pt>
                  <c:pt idx="79">
                    <c:v>gegen Außenluft - hinterlüftet</c:v>
                  </c:pt>
                  <c:pt idx="110">
                    <c:v>gegen Außenluft - nicht hinterlüftet</c:v>
                  </c:pt>
                  <c:pt idx="112">
                    <c:v>innerhalb einer Wohn- und Betriebseinh. ohne U-Wert-Anforderung</c:v>
                  </c:pt>
                  <c:pt idx="114">
                    <c:v>Nichttragend</c:v>
                  </c:pt>
                  <c:pt idx="117">
                    <c:v>(Leer)</c:v>
                  </c:pt>
                </c:lvl>
                <c:lvl>
                  <c:pt idx="0">
                    <c:v>Boden</c:v>
                  </c:pt>
                  <c:pt idx="3">
                    <c:v>Decke, Dach</c:v>
                  </c:pt>
                  <c:pt idx="74">
                    <c:v>Fenster (transparentes Bauteil)</c:v>
                  </c:pt>
                  <c:pt idx="76">
                    <c:v>Sonstiges</c:v>
                  </c:pt>
                  <c:pt idx="79">
                    <c:v>Wand</c:v>
                  </c:pt>
                </c:lvl>
              </c:multiLvlStrCache>
            </c:multiLvlStrRef>
          </c:cat>
          <c:val>
            <c:numRef>
              <c:f>Pivot!$B$2:$B$161</c:f>
              <c:numCache>
                <c:formatCode>0</c:formatCode>
                <c:ptCount val="118"/>
                <c:pt idx="0">
                  <c:v>800</c:v>
                </c:pt>
                <c:pt idx="1">
                  <c:v>760</c:v>
                </c:pt>
                <c:pt idx="2">
                  <c:v>21665.5</c:v>
                </c:pt>
                <c:pt idx="3">
                  <c:v>5915.2520000000004</c:v>
                </c:pt>
                <c:pt idx="4">
                  <c:v>5915.2520000000004</c:v>
                </c:pt>
                <c:pt idx="5">
                  <c:v>5915.2520000000004</c:v>
                </c:pt>
                <c:pt idx="6">
                  <c:v>5915.2520000000004</c:v>
                </c:pt>
                <c:pt idx="7">
                  <c:v>5915.2520000000004</c:v>
                </c:pt>
                <c:pt idx="8">
                  <c:v>5915.2520000000004</c:v>
                </c:pt>
                <c:pt idx="9">
                  <c:v>5915.2520000000004</c:v>
                </c:pt>
                <c:pt idx="10">
                  <c:v>81.77</c:v>
                </c:pt>
                <c:pt idx="11">
                  <c:v>81.77</c:v>
                </c:pt>
                <c:pt idx="12">
                  <c:v>81.77</c:v>
                </c:pt>
                <c:pt idx="13">
                  <c:v>81.77</c:v>
                </c:pt>
                <c:pt idx="14">
                  <c:v>81.77</c:v>
                </c:pt>
                <c:pt idx="15">
                  <c:v>81.77</c:v>
                </c:pt>
                <c:pt idx="16">
                  <c:v>81.77</c:v>
                </c:pt>
                <c:pt idx="17">
                  <c:v>81.77</c:v>
                </c:pt>
                <c:pt idx="18">
                  <c:v>81.77</c:v>
                </c:pt>
                <c:pt idx="19">
                  <c:v>1266.6099999999999</c:v>
                </c:pt>
                <c:pt idx="20">
                  <c:v>2533.2199999999998</c:v>
                </c:pt>
                <c:pt idx="21">
                  <c:v>1266.6099999999999</c:v>
                </c:pt>
                <c:pt idx="22">
                  <c:v>1266.6099999999999</c:v>
                </c:pt>
                <c:pt idx="23">
                  <c:v>1266.6099999999999</c:v>
                </c:pt>
                <c:pt idx="24">
                  <c:v>1266.6099999999999</c:v>
                </c:pt>
                <c:pt idx="25">
                  <c:v>1266.6099999999999</c:v>
                </c:pt>
                <c:pt idx="26">
                  <c:v>1266.6099999999999</c:v>
                </c:pt>
                <c:pt idx="27">
                  <c:v>1266.6099999999999</c:v>
                </c:pt>
                <c:pt idx="28">
                  <c:v>1266.6099999999999</c:v>
                </c:pt>
                <c:pt idx="29">
                  <c:v>1266.6099999999999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6160.0020000000004</c:v>
                </c:pt>
                <c:pt idx="38">
                  <c:v>6160.0020000000004</c:v>
                </c:pt>
                <c:pt idx="39">
                  <c:v>6160.0020000000004</c:v>
                </c:pt>
                <c:pt idx="40">
                  <c:v>6160.0020000000004</c:v>
                </c:pt>
                <c:pt idx="41">
                  <c:v>6160.0020000000004</c:v>
                </c:pt>
                <c:pt idx="42">
                  <c:v>6160.0020000000004</c:v>
                </c:pt>
                <c:pt idx="43">
                  <c:v>6160.0020000000004</c:v>
                </c:pt>
                <c:pt idx="44">
                  <c:v>6160.0020000000004</c:v>
                </c:pt>
                <c:pt idx="45">
                  <c:v>348.76</c:v>
                </c:pt>
                <c:pt idx="46">
                  <c:v>348.76</c:v>
                </c:pt>
                <c:pt idx="47">
                  <c:v>348.76</c:v>
                </c:pt>
                <c:pt idx="48">
                  <c:v>348.76</c:v>
                </c:pt>
                <c:pt idx="49">
                  <c:v>348.76</c:v>
                </c:pt>
                <c:pt idx="50">
                  <c:v>348.76</c:v>
                </c:pt>
                <c:pt idx="51">
                  <c:v>348.76</c:v>
                </c:pt>
                <c:pt idx="52">
                  <c:v>348.76</c:v>
                </c:pt>
                <c:pt idx="53">
                  <c:v>354.12</c:v>
                </c:pt>
                <c:pt idx="54">
                  <c:v>354.12</c:v>
                </c:pt>
                <c:pt idx="55">
                  <c:v>354.12</c:v>
                </c:pt>
                <c:pt idx="56">
                  <c:v>354.12</c:v>
                </c:pt>
                <c:pt idx="57">
                  <c:v>354.12</c:v>
                </c:pt>
                <c:pt idx="58">
                  <c:v>354.12</c:v>
                </c:pt>
                <c:pt idx="59">
                  <c:v>354.12</c:v>
                </c:pt>
                <c:pt idx="60">
                  <c:v>354.12</c:v>
                </c:pt>
                <c:pt idx="61">
                  <c:v>53.14</c:v>
                </c:pt>
                <c:pt idx="62">
                  <c:v>53.14</c:v>
                </c:pt>
                <c:pt idx="63">
                  <c:v>53.14</c:v>
                </c:pt>
                <c:pt idx="64">
                  <c:v>53.14</c:v>
                </c:pt>
                <c:pt idx="65">
                  <c:v>53.14</c:v>
                </c:pt>
                <c:pt idx="66">
                  <c:v>106.28</c:v>
                </c:pt>
                <c:pt idx="67">
                  <c:v>53.14</c:v>
                </c:pt>
                <c:pt idx="68">
                  <c:v>159.42000000000002</c:v>
                </c:pt>
                <c:pt idx="69">
                  <c:v>53.14</c:v>
                </c:pt>
                <c:pt idx="70">
                  <c:v>53.14</c:v>
                </c:pt>
                <c:pt idx="71">
                  <c:v>53.14</c:v>
                </c:pt>
                <c:pt idx="72">
                  <c:v>7817</c:v>
                </c:pt>
                <c:pt idx="73">
                  <c:v>5915.2520000000004</c:v>
                </c:pt>
                <c:pt idx="74">
                  <c:v>2725.0650000000001</c:v>
                </c:pt>
                <c:pt idx="75">
                  <c:v>2725.0650000000001</c:v>
                </c:pt>
                <c:pt idx="76">
                  <c:v>261</c:v>
                </c:pt>
                <c:pt idx="77">
                  <c:v>240</c:v>
                </c:pt>
                <c:pt idx="78">
                  <c:v>20</c:v>
                </c:pt>
                <c:pt idx="79">
                  <c:v>10805.1245</c:v>
                </c:pt>
                <c:pt idx="80">
                  <c:v>10805.1245</c:v>
                </c:pt>
                <c:pt idx="81">
                  <c:v>10805.1245</c:v>
                </c:pt>
                <c:pt idx="82">
                  <c:v>10805.1245</c:v>
                </c:pt>
                <c:pt idx="83">
                  <c:v>10805.1245</c:v>
                </c:pt>
                <c:pt idx="84">
                  <c:v>10805.1245</c:v>
                </c:pt>
                <c:pt idx="85">
                  <c:v>10805.1245</c:v>
                </c:pt>
                <c:pt idx="86">
                  <c:v>248.74510000000001</c:v>
                </c:pt>
                <c:pt idx="87">
                  <c:v>248.74510000000001</c:v>
                </c:pt>
                <c:pt idx="88">
                  <c:v>248.74510000000001</c:v>
                </c:pt>
                <c:pt idx="89">
                  <c:v>248.74510000000001</c:v>
                </c:pt>
                <c:pt idx="90">
                  <c:v>248.74510000000001</c:v>
                </c:pt>
                <c:pt idx="91">
                  <c:v>248.74510000000001</c:v>
                </c:pt>
                <c:pt idx="92">
                  <c:v>248.74510000000001</c:v>
                </c:pt>
                <c:pt idx="93">
                  <c:v>2164.2346499999999</c:v>
                </c:pt>
                <c:pt idx="94">
                  <c:v>8656.9385999999995</c:v>
                </c:pt>
                <c:pt idx="95">
                  <c:v>6492.7039499999992</c:v>
                </c:pt>
                <c:pt idx="96">
                  <c:v>2164.2346499999999</c:v>
                </c:pt>
                <c:pt idx="97">
                  <c:v>6492.7039499999992</c:v>
                </c:pt>
                <c:pt idx="98">
                  <c:v>2164.2346499999999</c:v>
                </c:pt>
                <c:pt idx="99">
                  <c:v>2164.2346499999999</c:v>
                </c:pt>
                <c:pt idx="100">
                  <c:v>2164.2346499999999</c:v>
                </c:pt>
                <c:pt idx="101">
                  <c:v>144.06360000000001</c:v>
                </c:pt>
                <c:pt idx="102">
                  <c:v>288.12720000000002</c:v>
                </c:pt>
                <c:pt idx="103">
                  <c:v>144.06360000000001</c:v>
                </c:pt>
                <c:pt idx="104">
                  <c:v>144.06360000000001</c:v>
                </c:pt>
                <c:pt idx="105">
                  <c:v>144.06360000000001</c:v>
                </c:pt>
                <c:pt idx="106">
                  <c:v>144.06360000000001</c:v>
                </c:pt>
                <c:pt idx="107">
                  <c:v>144.06360000000001</c:v>
                </c:pt>
                <c:pt idx="108">
                  <c:v>144.06360000000001</c:v>
                </c:pt>
                <c:pt idx="109">
                  <c:v>144.06360000000001</c:v>
                </c:pt>
                <c:pt idx="110">
                  <c:v>2146</c:v>
                </c:pt>
                <c:pt idx="111">
                  <c:v>1181</c:v>
                </c:pt>
                <c:pt idx="112">
                  <c:v>4035</c:v>
                </c:pt>
                <c:pt idx="113">
                  <c:v>163</c:v>
                </c:pt>
                <c:pt idx="114">
                  <c:v>1001.616328</c:v>
                </c:pt>
                <c:pt idx="115">
                  <c:v>500.80816399999998</c:v>
                </c:pt>
                <c:pt idx="116">
                  <c:v>1001.616328</c:v>
                </c:pt>
                <c:pt idx="117">
                  <c:v>420.5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68-40A7-9CD2-FC2304D5686D}"/>
            </c:ext>
          </c:extLst>
        </c:ser>
        <c:ser>
          <c:idx val="1"/>
          <c:order val="1"/>
          <c:tx>
            <c:strRef>
              <c:f>Pivot!$C$1</c:f>
              <c:strCache>
                <c:ptCount val="1"/>
                <c:pt idx="0">
                  <c:v>Summe von Material GWP-total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Pivot!$A$2:$A$161</c:f>
              <c:multiLvlStrCache>
                <c:ptCount val="118"/>
                <c:lvl>
                  <c:pt idx="0">
                    <c:v>Stahlbeton 100 kg/m³ Armierungsstahl (1,25 Vol.%)</c:v>
                  </c:pt>
                  <c:pt idx="1">
                    <c:v>Stahlbeton 100 kg/m³ Armierungsstahl (1,25 Vol.%)</c:v>
                  </c:pt>
                  <c:pt idx="3">
                    <c:v>Aluminium-Bitumendichtungsbahn</c:v>
                  </c:pt>
                  <c:pt idx="4">
                    <c:v>AUSTROTHERM EPS T1000</c:v>
                  </c:pt>
                  <c:pt idx="5">
                    <c:v>AUSTROTHERM EPS W25 PLUS</c:v>
                  </c:pt>
                  <c:pt idx="6">
                    <c:v>Brettsperrholz (475 kg/m³)</c:v>
                  </c:pt>
                  <c:pt idx="7">
                    <c:v>Polymerbitumen-Dichtungsbahn</c:v>
                  </c:pt>
                  <c:pt idx="8">
                    <c:v>Schüttungen aus Sand, Kies, Splitt (1800 kg/m³)</c:v>
                  </c:pt>
                  <c:pt idx="9">
                    <c:v>Vlies PP</c:v>
                  </c:pt>
                  <c:pt idx="10">
                    <c:v>Aluminium-Bitumendichtungsbahn</c:v>
                  </c:pt>
                  <c:pt idx="11">
                    <c:v>AUSTROTHERM EPS W25</c:v>
                  </c:pt>
                  <c:pt idx="12">
                    <c:v>Betonplatten</c:v>
                  </c:pt>
                  <c:pt idx="13">
                    <c:v>Polymerbitumen-Dichtungsbahn</c:v>
                  </c:pt>
                  <c:pt idx="14">
                    <c:v>RÖFIX 350 Kalkglätte</c:v>
                  </c:pt>
                  <c:pt idx="15">
                    <c:v>Schüttungen aus Sand, Kies, Splitt (1800 kg/m³)</c:v>
                  </c:pt>
                  <c:pt idx="16">
                    <c:v>Spachtel - Gipsspachtel</c:v>
                  </c:pt>
                  <c:pt idx="17">
                    <c:v>Stahlbeton 100 kg/m³ Armierungsstahl (1,25 Vol.%)</c:v>
                  </c:pt>
                  <c:pt idx="18">
                    <c:v>Vlies PP</c:v>
                  </c:pt>
                  <c:pt idx="19">
                    <c:v>Airstop Diva Dampfbremse</c:v>
                  </c:pt>
                  <c:pt idx="20">
                    <c:v>BauderPIR Flachdachdämmplatten, dampfdifussionsdicht</c:v>
                  </c:pt>
                  <c:pt idx="21">
                    <c:v>CLT (Cross Laminated Timber) by Stora Enso</c:v>
                  </c:pt>
                  <c:pt idx="22">
                    <c:v>Knauf Vidiwall Gipsfaserplatte</c:v>
                  </c:pt>
                  <c:pt idx="23">
                    <c:v>Polyesterfaser-Dämmstoff</c:v>
                  </c:pt>
                  <c:pt idx="24">
                    <c:v>Polymerbitumen-Dichtungsbahn</c:v>
                  </c:pt>
                  <c:pt idx="25">
                    <c:v>ROCKWOOL Hardrock 038</c:v>
                  </c:pt>
                  <c:pt idx="26">
                    <c:v>RÖFIX 350 Kalkglätte</c:v>
                  </c:pt>
                  <c:pt idx="27">
                    <c:v>Sand, Kies lufttrocken, Pflanzensubstrat</c:v>
                  </c:pt>
                  <c:pt idx="28">
                    <c:v>Spachtel - Gipsspachtel</c:v>
                  </c:pt>
                  <c:pt idx="29">
                    <c:v>Vlies PP</c:v>
                  </c:pt>
                  <c:pt idx="30">
                    <c:v>Airstop Diva + Dampfbremse</c:v>
                  </c:pt>
                  <c:pt idx="31">
                    <c:v>AUSTROTHERM EPS T650</c:v>
                  </c:pt>
                  <c:pt idx="32">
                    <c:v>Baumit Estriche und Faserestriche (E225, E300, E400)</c:v>
                  </c:pt>
                  <c:pt idx="33">
                    <c:v>Massivholzplatten (3-Schicht, 5-Schicht), Fichte/Tanne (475 kg/m³)</c:v>
                  </c:pt>
                  <c:pt idx="34">
                    <c:v>Polyolefin-Bodenbelag auf Basis von PE und PU (1300 kg/m³)</c:v>
                  </c:pt>
                  <c:pt idx="35">
                    <c:v>Splittschüttung (zementgebunden)</c:v>
                  </c:pt>
                  <c:pt idx="36">
                    <c:v>Trennlage Wütop Metall SK</c:v>
                  </c:pt>
                  <c:pt idx="37">
                    <c:v>Airstop Diva + Dampfbremse</c:v>
                  </c:pt>
                  <c:pt idx="38">
                    <c:v>Anhydritputz</c:v>
                  </c:pt>
                  <c:pt idx="39">
                    <c:v>AUSTROTHERM EPS T650</c:v>
                  </c:pt>
                  <c:pt idx="40">
                    <c:v>Baumit Estriche und Faserestriche (E225, E300, E400)</c:v>
                  </c:pt>
                  <c:pt idx="41">
                    <c:v>Polyolefin-Bodenbelag auf Basis von PE und PU (1300 kg/m³)</c:v>
                  </c:pt>
                  <c:pt idx="42">
                    <c:v>Splittschüttung (zementgebunden)</c:v>
                  </c:pt>
                  <c:pt idx="43">
                    <c:v>Stahlbeton 100 kg/m³ Armierungsstahl (1,25 Vol.%)</c:v>
                  </c:pt>
                  <c:pt idx="44">
                    <c:v>Trennlage Wütop Metall SK</c:v>
                  </c:pt>
                  <c:pt idx="45">
                    <c:v>Airstop Diva + Dampfbremse</c:v>
                  </c:pt>
                  <c:pt idx="46">
                    <c:v>AUSTROTHERM EPS T650</c:v>
                  </c:pt>
                  <c:pt idx="47">
                    <c:v>BACHL PE-Dampfbremsfolie Klasse E, B2, 100µm</c:v>
                  </c:pt>
                  <c:pt idx="48">
                    <c:v>Baumit Estriche und Faserestriche (E225, E300, E400)</c:v>
                  </c:pt>
                  <c:pt idx="49">
                    <c:v>KI Kellerdeckendämmplatte KDP-B-035 plus</c:v>
                  </c:pt>
                  <c:pt idx="50">
                    <c:v>Polyolefin-Bodenbelag auf Basis von PE und PU (1300 kg/m³)</c:v>
                  </c:pt>
                  <c:pt idx="51">
                    <c:v>Splittschüttung (zementgebunden)</c:v>
                  </c:pt>
                  <c:pt idx="52">
                    <c:v>Stahlbeton 100 kg/m³ Armierungsstahl (1,25 Vol.%)</c:v>
                  </c:pt>
                  <c:pt idx="53">
                    <c:v>Airstop Diva + Dampfbremse</c:v>
                  </c:pt>
                  <c:pt idx="54">
                    <c:v>AUSTROTHERM EPS T650</c:v>
                  </c:pt>
                  <c:pt idx="55">
                    <c:v>Baumit Estriche und Faserestriche (E225, E300, E400)</c:v>
                  </c:pt>
                  <c:pt idx="56">
                    <c:v>KI Kellerdeckendämmplatte KDP-B-035 plus</c:v>
                  </c:pt>
                  <c:pt idx="57">
                    <c:v>Polyolefin-Bodenbelag auf Basis von PE und PU (1300 kg/m³)</c:v>
                  </c:pt>
                  <c:pt idx="58">
                    <c:v>Splittschüttung (zementgebunden)</c:v>
                  </c:pt>
                  <c:pt idx="59">
                    <c:v>Stahlbeton 100 kg/m³ Armierungsstahl (1,25 Vol.%)</c:v>
                  </c:pt>
                  <c:pt idx="60">
                    <c:v>Trennlage Wütop Metall SK</c:v>
                  </c:pt>
                  <c:pt idx="61">
                    <c:v>Baumit Estriche und Faserestriche (E225, E300, E400)</c:v>
                  </c:pt>
                  <c:pt idx="62">
                    <c:v>Baupapier</c:v>
                  </c:pt>
                  <c:pt idx="63">
                    <c:v>ISOCELL AIRSTOP Dampfbremse</c:v>
                  </c:pt>
                  <c:pt idx="64">
                    <c:v>ISOVER Akustic EP 3</c:v>
                  </c:pt>
                  <c:pt idx="65">
                    <c:v>KI Kellerdecken-Dämmplatte DP 6 GVN</c:v>
                  </c:pt>
                  <c:pt idx="66">
                    <c:v>Knauf Vidiwall Gipsfaserplatte</c:v>
                  </c:pt>
                  <c:pt idx="67">
                    <c:v>Leichtbetone mit Blähton oder Ziegelsplitt als Leichtgesteinskörnung (1500 kg/m³)</c:v>
                  </c:pt>
                  <c:pt idx="68">
                    <c:v>STEICO LVL X Rimboard</c:v>
                  </c:pt>
                  <c:pt idx="69">
                    <c:v>Trennlage Wütop Metall SK</c:v>
                  </c:pt>
                  <c:pt idx="70">
                    <c:v>Troldtekt Akustikplatten A2</c:v>
                  </c:pt>
                  <c:pt idx="71">
                    <c:v>Weitzer Fertigparkett 3-Schicht</c:v>
                  </c:pt>
                  <c:pt idx="72">
                    <c:v>Stahlbeton 100 kg/m³ Armierungsstahl (1,25 Vol.%)</c:v>
                  </c:pt>
                  <c:pt idx="73">
                    <c:v>Betonplatten</c:v>
                  </c:pt>
                  <c:pt idx="74">
                    <c:v>Böhler HOLZ-FENSTER boe_classic + (Rahmen)</c:v>
                  </c:pt>
                  <c:pt idx="75">
                    <c:v>Glas-Müller SGG CLIMATOP XN 0.5</c:v>
                  </c:pt>
                  <c:pt idx="76">
                    <c:v>Stahlbeton 100 kg/m³ Armierungsstahl (1,25 Vol.%)</c:v>
                  </c:pt>
                  <c:pt idx="77">
                    <c:v>Stahlbeton 100 kg/m³ Armierungsstahl (1,25 Vol.%)</c:v>
                  </c:pt>
                  <c:pt idx="78">
                    <c:v>Stahlbeton 100 kg/m³ Armierungsstahl (1,25 Vol.%)</c:v>
                  </c:pt>
                  <c:pt idx="79">
                    <c:v>Brettsperrholz (475 kg/m³)</c:v>
                  </c:pt>
                  <c:pt idx="80">
                    <c:v>Holzspanplatte (zementgebunden) (1200 kg/m³)</c:v>
                  </c:pt>
                  <c:pt idx="81">
                    <c:v>Konstruktionsvollholz (KVH)</c:v>
                  </c:pt>
                  <c:pt idx="82">
                    <c:v>Massivholzplatten (3-Schicht, 5-Schicht), Fichte/Tanne (475 kg/m³)</c:v>
                  </c:pt>
                  <c:pt idx="83">
                    <c:v>Rema 3-S Massivholzplatte Fichte/Tanne/Lärche</c:v>
                  </c:pt>
                  <c:pt idx="84">
                    <c:v>ROCKWOOL Klemmrock 035</c:v>
                  </c:pt>
                  <c:pt idx="85">
                    <c:v>Unterdeck- und Unterspannbahn Wütop 170 SK</c:v>
                  </c:pt>
                  <c:pt idx="86">
                    <c:v>ISOVER Integra AP Basic Aufsparren-Dämmplatte unkaschiert</c:v>
                  </c:pt>
                  <c:pt idx="87">
                    <c:v>Massivholzplatten (3-Schicht, 5-Schicht), Fichte/Tanne (475 kg/m³)</c:v>
                  </c:pt>
                  <c:pt idx="88">
                    <c:v>Rema 3-S Massivholzplatte Fichte/Tanne/Lärche</c:v>
                  </c:pt>
                  <c:pt idx="89">
                    <c:v>RÖFIX 350 Kalkglätte</c:v>
                  </c:pt>
                  <c:pt idx="90">
                    <c:v>Spachtel - Gipsspachtel</c:v>
                  </c:pt>
                  <c:pt idx="91">
                    <c:v>Stahlbeton 100 kg/m³ Armierungsstahl (1,25 Vol.%)</c:v>
                  </c:pt>
                  <c:pt idx="92">
                    <c:v>Unterdeck- und Unterspannbahn Wütop 170 SK</c:v>
                  </c:pt>
                  <c:pt idx="93">
                    <c:v>AUSTROTHERM RESOLUTION Fassaden-Dämmplatte</c:v>
                  </c:pt>
                  <c:pt idx="94">
                    <c:v>Knauf Vidiwall Gipsfaserplatte</c:v>
                  </c:pt>
                  <c:pt idx="95">
                    <c:v>Konstruktionsvollholz (KVH)</c:v>
                  </c:pt>
                  <c:pt idx="96">
                    <c:v>Planum (Alu)</c:v>
                  </c:pt>
                  <c:pt idx="97">
                    <c:v>ROCKWOOL Klemmrock 035</c:v>
                  </c:pt>
                  <c:pt idx="98">
                    <c:v>RÖFIX 350 Kalkglätte</c:v>
                  </c:pt>
                  <c:pt idx="99">
                    <c:v>Spachtel - Gipsspachtel</c:v>
                  </c:pt>
                  <c:pt idx="100">
                    <c:v>Unterdeck- und Unterspannbahn Wütop 170 SK</c:v>
                  </c:pt>
                  <c:pt idx="101">
                    <c:v>AUSTROTHERM RESOLUTION Fassaden-Dämmplatte</c:v>
                  </c:pt>
                  <c:pt idx="102">
                    <c:v>FERMACELL Gipsfaserplatte</c:v>
                  </c:pt>
                  <c:pt idx="103">
                    <c:v>Holzfaser WF-WV (130 kg/m³)</c:v>
                  </c:pt>
                  <c:pt idx="104">
                    <c:v>ISOCELL AIRSTOP Dampfbremse</c:v>
                  </c:pt>
                  <c:pt idx="105">
                    <c:v>Konstruktionsvollholz (KVH)</c:v>
                  </c:pt>
                  <c:pt idx="106">
                    <c:v>Massivholzplatten (3-Schicht, 5-Schicht), Fichte/Tanne (475 kg/m³)</c:v>
                  </c:pt>
                  <c:pt idx="107">
                    <c:v>ROCKWOOL Klemmrock 035</c:v>
                  </c:pt>
                  <c:pt idx="108">
                    <c:v>Spachtel - Gipsspachtel</c:v>
                  </c:pt>
                  <c:pt idx="109">
                    <c:v>Unterdeck- und Unterspannbahn Wütop Trio Strong</c:v>
                  </c:pt>
                  <c:pt idx="110">
                    <c:v>Stahlbeton 100 kg/m³ Armierungsstahl (1,25 Vol.%)</c:v>
                  </c:pt>
                  <c:pt idx="111">
                    <c:v>Glas (2500 kg/m³)</c:v>
                  </c:pt>
                  <c:pt idx="112">
                    <c:v>Stahlbeton 100 kg/m³ Armierungsstahl (1,25 Vol.%)</c:v>
                  </c:pt>
                  <c:pt idx="113">
                    <c:v>Stahlbeton 100 kg/m³ Armierungsstahl (1,25 Vol.%)</c:v>
                  </c:pt>
                  <c:pt idx="114">
                    <c:v>Gipskartonplatte (700 kg/m³)</c:v>
                  </c:pt>
                  <c:pt idx="115">
                    <c:v>Glaswolle MW(GW)-PT 10 (90 kg/m³)</c:v>
                  </c:pt>
                  <c:pt idx="116">
                    <c:v>RÖFIX 350 Kalkglätte</c:v>
                  </c:pt>
                  <c:pt idx="117">
                    <c:v>Stahlbeton 100 kg/m³ Armierungsstahl (1,25 Vol.%)</c:v>
                  </c:pt>
                </c:lvl>
                <c:lvl>
                  <c:pt idx="0">
                    <c:v>MITTE Bruttoflächen Balkone</c:v>
                  </c:pt>
                  <c:pt idx="1">
                    <c:v>MITTE Flächen Schallschutzloggien (ohne EG)</c:v>
                  </c:pt>
                  <c:pt idx="3">
                    <c:v>DA01</c:v>
                  </c:pt>
                  <c:pt idx="10">
                    <c:v>DA02a</c:v>
                  </c:pt>
                  <c:pt idx="19">
                    <c:v>DA06</c:v>
                  </c:pt>
                  <c:pt idx="30">
                    <c:v>DE01</c:v>
                  </c:pt>
                  <c:pt idx="37">
                    <c:v>DE02</c:v>
                  </c:pt>
                  <c:pt idx="45">
                    <c:v>DE02b</c:v>
                  </c:pt>
                  <c:pt idx="53">
                    <c:v>DE02d</c:v>
                  </c:pt>
                  <c:pt idx="61">
                    <c:v>DE08c</c:v>
                  </c:pt>
                  <c:pt idx="72">
                    <c:v>MITTE UG Decken nicht überbaut</c:v>
                  </c:pt>
                  <c:pt idx="73">
                    <c:v>DA01</c:v>
                  </c:pt>
                  <c:pt idx="74">
                    <c:v>FE01</c:v>
                  </c:pt>
                  <c:pt idx="76">
                    <c:v>MITTE Stützen UG</c:v>
                  </c:pt>
                  <c:pt idx="77">
                    <c:v>SÜD Stützen Laubengang O+P</c:v>
                  </c:pt>
                  <c:pt idx="78">
                    <c:v>SÜD Stützen UG</c:v>
                  </c:pt>
                  <c:pt idx="79">
                    <c:v>AW01</c:v>
                  </c:pt>
                  <c:pt idx="86">
                    <c:v>AW04a</c:v>
                  </c:pt>
                  <c:pt idx="93">
                    <c:v>AW07</c:v>
                  </c:pt>
                  <c:pt idx="101">
                    <c:v>AW10</c:v>
                  </c:pt>
                  <c:pt idx="110">
                    <c:v>MITTE Außenwandflächen UG</c:v>
                  </c:pt>
                  <c:pt idx="111">
                    <c:v>MITTE Glaswandflächen Schallschutzloggien</c:v>
                  </c:pt>
                  <c:pt idx="112">
                    <c:v>MITTE Innenwandflächen UG STB</c:v>
                  </c:pt>
                  <c:pt idx="113">
                    <c:v>SÜD Innenwandflächen UG STB</c:v>
                  </c:pt>
                  <c:pt idx="114">
                    <c:v>IW01</c:v>
                  </c:pt>
                  <c:pt idx="117">
                    <c:v>SÜD Außenwandflächen UG</c:v>
                  </c:pt>
                </c:lvl>
                <c:lvl>
                  <c:pt idx="0">
                    <c:v>Boden</c:v>
                  </c:pt>
                  <c:pt idx="2">
                    <c:v>erdberührt - Wärmestrom nach unten</c:v>
                  </c:pt>
                  <c:pt idx="3">
                    <c:v>Flach- oder Schrägdach gegen Außenluft - nicht hinterlüftet - Wärmestrom nach oben</c:v>
                  </c:pt>
                  <c:pt idx="73">
                    <c:v>^^</c:v>
                  </c:pt>
                  <c:pt idx="74">
                    <c:v>in Wohngebäuden gegen Außenluft, 1 Flügel</c:v>
                  </c:pt>
                  <c:pt idx="76">
                    <c:v>Stk.</c:v>
                  </c:pt>
                  <c:pt idx="79">
                    <c:v>gegen Außenluft - hinterlüftet</c:v>
                  </c:pt>
                  <c:pt idx="110">
                    <c:v>gegen Außenluft - nicht hinterlüftet</c:v>
                  </c:pt>
                  <c:pt idx="112">
                    <c:v>innerhalb einer Wohn- und Betriebseinh. ohne U-Wert-Anforderung</c:v>
                  </c:pt>
                  <c:pt idx="114">
                    <c:v>Nichttragend</c:v>
                  </c:pt>
                  <c:pt idx="117">
                    <c:v>(Leer)</c:v>
                  </c:pt>
                </c:lvl>
                <c:lvl>
                  <c:pt idx="0">
                    <c:v>Boden</c:v>
                  </c:pt>
                  <c:pt idx="3">
                    <c:v>Decke, Dach</c:v>
                  </c:pt>
                  <c:pt idx="74">
                    <c:v>Fenster (transparentes Bauteil)</c:v>
                  </c:pt>
                  <c:pt idx="76">
                    <c:v>Sonstiges</c:v>
                  </c:pt>
                  <c:pt idx="79">
                    <c:v>Wand</c:v>
                  </c:pt>
                </c:lvl>
              </c:multiLvlStrCache>
            </c:multiLvlStrRef>
          </c:cat>
          <c:val>
            <c:numRef>
              <c:f>Pivot!$C$2:$C$161</c:f>
              <c:numCache>
                <c:formatCode>0</c:formatCode>
                <c:ptCount val="118"/>
                <c:pt idx="0">
                  <c:v>0.15291231999999999</c:v>
                </c:pt>
                <c:pt idx="1">
                  <c:v>0.15291231999999999</c:v>
                </c:pt>
                <c:pt idx="2">
                  <c:v>49.439431940300004</c:v>
                </c:pt>
                <c:pt idx="3">
                  <c:v>1.6023311</c:v>
                </c:pt>
                <c:pt idx="4">
                  <c:v>4.2053807000000001</c:v>
                </c:pt>
                <c:pt idx="5">
                  <c:v>4.2053807000000001</c:v>
                </c:pt>
                <c:pt idx="6">
                  <c:v>-0.42124977000000002</c:v>
                </c:pt>
                <c:pt idx="7">
                  <c:v>0.82198998999999995</c:v>
                </c:pt>
                <c:pt idx="8">
                  <c:v>7.0793302999999997E-3</c:v>
                </c:pt>
                <c:pt idx="9">
                  <c:v>2.8430924000000002</c:v>
                </c:pt>
                <c:pt idx="10">
                  <c:v>1.6023311</c:v>
                </c:pt>
                <c:pt idx="11">
                  <c:v>4.2053807000000001</c:v>
                </c:pt>
                <c:pt idx="12">
                  <c:v>9.2611880999999993E-2</c:v>
                </c:pt>
                <c:pt idx="13">
                  <c:v>0.82198998999999995</c:v>
                </c:pt>
                <c:pt idx="14">
                  <c:v>0.17529323999999999</c:v>
                </c:pt>
                <c:pt idx="15">
                  <c:v>7.0793302999999997E-3</c:v>
                </c:pt>
                <c:pt idx="16">
                  <c:v>0.15785514</c:v>
                </c:pt>
                <c:pt idx="17">
                  <c:v>0.15291231999999999</c:v>
                </c:pt>
                <c:pt idx="18">
                  <c:v>2.8430924000000002</c:v>
                </c:pt>
                <c:pt idx="19">
                  <c:v>2.8430924000000002</c:v>
                </c:pt>
                <c:pt idx="20">
                  <c:v>8.6145922000000006</c:v>
                </c:pt>
                <c:pt idx="21">
                  <c:v>-1.5060725230000001</c:v>
                </c:pt>
                <c:pt idx="22">
                  <c:v>8.4483150000000007E-2</c:v>
                </c:pt>
                <c:pt idx="23">
                  <c:v>5.5952704000000004</c:v>
                </c:pt>
                <c:pt idx="24">
                  <c:v>0.82198998999999995</c:v>
                </c:pt>
                <c:pt idx="25">
                  <c:v>1.7409311000000001</c:v>
                </c:pt>
                <c:pt idx="26">
                  <c:v>0.17529323999999999</c:v>
                </c:pt>
                <c:pt idx="27">
                  <c:v>2.1635005999999998E-2</c:v>
                </c:pt>
                <c:pt idx="28">
                  <c:v>0.15785514</c:v>
                </c:pt>
                <c:pt idx="29">
                  <c:v>2.8430924000000002</c:v>
                </c:pt>
                <c:pt idx="30">
                  <c:v>2.8430924000000002</c:v>
                </c:pt>
                <c:pt idx="31">
                  <c:v>4.2053807000000001</c:v>
                </c:pt>
                <c:pt idx="32">
                  <c:v>0.15118186</c:v>
                </c:pt>
                <c:pt idx="33">
                  <c:v>-0.32528815</c:v>
                </c:pt>
                <c:pt idx="34">
                  <c:v>3.9844141999999998</c:v>
                </c:pt>
                <c:pt idx="35">
                  <c:v>2.0272476000000001E-2</c:v>
                </c:pt>
                <c:pt idx="36">
                  <c:v>2.8430924000000002</c:v>
                </c:pt>
                <c:pt idx="37">
                  <c:v>2.8430924000000002</c:v>
                </c:pt>
                <c:pt idx="38">
                  <c:v>0.12708958000000001</c:v>
                </c:pt>
                <c:pt idx="39">
                  <c:v>4.2053807000000001</c:v>
                </c:pt>
                <c:pt idx="40">
                  <c:v>0.15118186</c:v>
                </c:pt>
                <c:pt idx="41">
                  <c:v>3.9844141999999998</c:v>
                </c:pt>
                <c:pt idx="42">
                  <c:v>2.0272476000000001E-2</c:v>
                </c:pt>
                <c:pt idx="43">
                  <c:v>0.15291231999999999</c:v>
                </c:pt>
                <c:pt idx="44">
                  <c:v>2.8430924000000002</c:v>
                </c:pt>
                <c:pt idx="45">
                  <c:v>2.8430924000000002</c:v>
                </c:pt>
                <c:pt idx="46">
                  <c:v>4.2053807000000001</c:v>
                </c:pt>
                <c:pt idx="47">
                  <c:v>2.6102582000000001</c:v>
                </c:pt>
                <c:pt idx="48">
                  <c:v>0.15118186</c:v>
                </c:pt>
                <c:pt idx="49">
                  <c:v>1.7409311000000001</c:v>
                </c:pt>
                <c:pt idx="50">
                  <c:v>3.9844141999999998</c:v>
                </c:pt>
                <c:pt idx="51">
                  <c:v>2.0272476000000001E-2</c:v>
                </c:pt>
                <c:pt idx="52">
                  <c:v>0.15291231999999999</c:v>
                </c:pt>
                <c:pt idx="53">
                  <c:v>2.8430924000000002</c:v>
                </c:pt>
                <c:pt idx="54">
                  <c:v>4.2053807000000001</c:v>
                </c:pt>
                <c:pt idx="55">
                  <c:v>0.15118186</c:v>
                </c:pt>
                <c:pt idx="56">
                  <c:v>1.7409311000000001</c:v>
                </c:pt>
                <c:pt idx="57">
                  <c:v>3.9844141999999998</c:v>
                </c:pt>
                <c:pt idx="58">
                  <c:v>2.0272476000000001E-2</c:v>
                </c:pt>
                <c:pt idx="59">
                  <c:v>0.15291231999999999</c:v>
                </c:pt>
                <c:pt idx="60">
                  <c:v>2.8430924000000002</c:v>
                </c:pt>
                <c:pt idx="61">
                  <c:v>0.15118186</c:v>
                </c:pt>
                <c:pt idx="62">
                  <c:v>-0.95084049000000004</c:v>
                </c:pt>
                <c:pt idx="63">
                  <c:v>2.8430924000000002</c:v>
                </c:pt>
                <c:pt idx="64">
                  <c:v>1.7409311000000001</c:v>
                </c:pt>
                <c:pt idx="65">
                  <c:v>1.7409311000000001</c:v>
                </c:pt>
                <c:pt idx="66">
                  <c:v>0.16896630000000001</c:v>
                </c:pt>
                <c:pt idx="67">
                  <c:v>0.34419855999999999</c:v>
                </c:pt>
                <c:pt idx="68">
                  <c:v>-0.53151813000000003</c:v>
                </c:pt>
                <c:pt idx="69">
                  <c:v>2.8430924000000002</c:v>
                </c:pt>
                <c:pt idx="70">
                  <c:v>-0.14579291999999999</c:v>
                </c:pt>
                <c:pt idx="71">
                  <c:v>0.12088635</c:v>
                </c:pt>
                <c:pt idx="72">
                  <c:v>0.15291231999999999</c:v>
                </c:pt>
                <c:pt idx="73">
                  <c:v>9.2611880999999993E-2</c:v>
                </c:pt>
                <c:pt idx="74">
                  <c:v>79.231499999999997</c:v>
                </c:pt>
                <c:pt idx="75">
                  <c:v>61.53</c:v>
                </c:pt>
                <c:pt idx="76">
                  <c:v>0.15291231999999999</c:v>
                </c:pt>
                <c:pt idx="77">
                  <c:v>0.15291231999999999</c:v>
                </c:pt>
                <c:pt idx="78">
                  <c:v>0.15291231999999999</c:v>
                </c:pt>
                <c:pt idx="79">
                  <c:v>-0.42124977000000002</c:v>
                </c:pt>
                <c:pt idx="80">
                  <c:v>0.48134774000000002</c:v>
                </c:pt>
                <c:pt idx="81">
                  <c:v>-0.69825356999999999</c:v>
                </c:pt>
                <c:pt idx="82">
                  <c:v>-0.32528815</c:v>
                </c:pt>
                <c:pt idx="83">
                  <c:v>-0.32528815</c:v>
                </c:pt>
                <c:pt idx="84">
                  <c:v>1.7409311000000001</c:v>
                </c:pt>
                <c:pt idx="85">
                  <c:v>2.8430924000000002</c:v>
                </c:pt>
                <c:pt idx="86">
                  <c:v>1.7409311000000001</c:v>
                </c:pt>
                <c:pt idx="87">
                  <c:v>-0.32528815</c:v>
                </c:pt>
                <c:pt idx="88">
                  <c:v>-0.32528815</c:v>
                </c:pt>
                <c:pt idx="89">
                  <c:v>0.17529323999999999</c:v>
                </c:pt>
                <c:pt idx="90">
                  <c:v>0.15785514</c:v>
                </c:pt>
                <c:pt idx="91">
                  <c:v>0.15291231999999999</c:v>
                </c:pt>
                <c:pt idx="92">
                  <c:v>2.8430924000000002</c:v>
                </c:pt>
                <c:pt idx="93">
                  <c:v>5.0115335999999999</c:v>
                </c:pt>
                <c:pt idx="94">
                  <c:v>0.33793260000000003</c:v>
                </c:pt>
                <c:pt idx="95">
                  <c:v>-2.0947607100000001</c:v>
                </c:pt>
                <c:pt idx="96">
                  <c:v>9.1452820999999993</c:v>
                </c:pt>
                <c:pt idx="97">
                  <c:v>5.2227933000000002</c:v>
                </c:pt>
                <c:pt idx="98">
                  <c:v>0.17529323999999999</c:v>
                </c:pt>
                <c:pt idx="99">
                  <c:v>0.15785514</c:v>
                </c:pt>
                <c:pt idx="100">
                  <c:v>2.8430924000000002</c:v>
                </c:pt>
                <c:pt idx="101">
                  <c:v>5.0115335999999999</c:v>
                </c:pt>
                <c:pt idx="102">
                  <c:v>0.16896630000000001</c:v>
                </c:pt>
                <c:pt idx="103">
                  <c:v>-1.2006950000000001E-2</c:v>
                </c:pt>
                <c:pt idx="104">
                  <c:v>2.8430924000000002</c:v>
                </c:pt>
                <c:pt idx="105">
                  <c:v>-0.69825356999999999</c:v>
                </c:pt>
                <c:pt idx="106">
                  <c:v>-0.32528815</c:v>
                </c:pt>
                <c:pt idx="107">
                  <c:v>1.7409311000000001</c:v>
                </c:pt>
                <c:pt idx="108">
                  <c:v>0.15785514</c:v>
                </c:pt>
                <c:pt idx="109">
                  <c:v>2.8430924000000002</c:v>
                </c:pt>
                <c:pt idx="110">
                  <c:v>0.15291231999999999</c:v>
                </c:pt>
                <c:pt idx="111">
                  <c:v>0.97923126999999999</c:v>
                </c:pt>
                <c:pt idx="112">
                  <c:v>0.15291231999999999</c:v>
                </c:pt>
                <c:pt idx="113">
                  <c:v>0.15291231999999999</c:v>
                </c:pt>
                <c:pt idx="114">
                  <c:v>0.36265501999999999</c:v>
                </c:pt>
                <c:pt idx="115">
                  <c:v>2.4170243</c:v>
                </c:pt>
                <c:pt idx="116">
                  <c:v>0.35058647999999998</c:v>
                </c:pt>
                <c:pt idx="117">
                  <c:v>0.15291231999999999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68-40A7-9CD2-FC2304D5686D}"/>
            </c:ext>
          </c:extLst>
        </c:ser>
        <c:ser>
          <c:idx val="2"/>
          <c:order val="2"/>
          <c:tx>
            <c:strRef>
              <c:f>Pivot!$D$1</c:f>
              <c:strCache>
                <c:ptCount val="1"/>
                <c:pt idx="0">
                  <c:v>Summe von Material GWP-fossil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Pivot!$A$2:$A$161</c:f>
              <c:multiLvlStrCache>
                <c:ptCount val="118"/>
                <c:lvl>
                  <c:pt idx="0">
                    <c:v>Stahlbeton 100 kg/m³ Armierungsstahl (1,25 Vol.%)</c:v>
                  </c:pt>
                  <c:pt idx="1">
                    <c:v>Stahlbeton 100 kg/m³ Armierungsstahl (1,25 Vol.%)</c:v>
                  </c:pt>
                  <c:pt idx="3">
                    <c:v>Aluminium-Bitumendichtungsbahn</c:v>
                  </c:pt>
                  <c:pt idx="4">
                    <c:v>AUSTROTHERM EPS T1000</c:v>
                  </c:pt>
                  <c:pt idx="5">
                    <c:v>AUSTROTHERM EPS W25 PLUS</c:v>
                  </c:pt>
                  <c:pt idx="6">
                    <c:v>Brettsperrholz (475 kg/m³)</c:v>
                  </c:pt>
                  <c:pt idx="7">
                    <c:v>Polymerbitumen-Dichtungsbahn</c:v>
                  </c:pt>
                  <c:pt idx="8">
                    <c:v>Schüttungen aus Sand, Kies, Splitt (1800 kg/m³)</c:v>
                  </c:pt>
                  <c:pt idx="9">
                    <c:v>Vlies PP</c:v>
                  </c:pt>
                  <c:pt idx="10">
                    <c:v>Aluminium-Bitumendichtungsbahn</c:v>
                  </c:pt>
                  <c:pt idx="11">
                    <c:v>AUSTROTHERM EPS W25</c:v>
                  </c:pt>
                  <c:pt idx="12">
                    <c:v>Betonplatten</c:v>
                  </c:pt>
                  <c:pt idx="13">
                    <c:v>Polymerbitumen-Dichtungsbahn</c:v>
                  </c:pt>
                  <c:pt idx="14">
                    <c:v>RÖFIX 350 Kalkglätte</c:v>
                  </c:pt>
                  <c:pt idx="15">
                    <c:v>Schüttungen aus Sand, Kies, Splitt (1800 kg/m³)</c:v>
                  </c:pt>
                  <c:pt idx="16">
                    <c:v>Spachtel - Gipsspachtel</c:v>
                  </c:pt>
                  <c:pt idx="17">
                    <c:v>Stahlbeton 100 kg/m³ Armierungsstahl (1,25 Vol.%)</c:v>
                  </c:pt>
                  <c:pt idx="18">
                    <c:v>Vlies PP</c:v>
                  </c:pt>
                  <c:pt idx="19">
                    <c:v>Airstop Diva Dampfbremse</c:v>
                  </c:pt>
                  <c:pt idx="20">
                    <c:v>BauderPIR Flachdachdämmplatten, dampfdifussionsdicht</c:v>
                  </c:pt>
                  <c:pt idx="21">
                    <c:v>CLT (Cross Laminated Timber) by Stora Enso</c:v>
                  </c:pt>
                  <c:pt idx="22">
                    <c:v>Knauf Vidiwall Gipsfaserplatte</c:v>
                  </c:pt>
                  <c:pt idx="23">
                    <c:v>Polyesterfaser-Dämmstoff</c:v>
                  </c:pt>
                  <c:pt idx="24">
                    <c:v>Polymerbitumen-Dichtungsbahn</c:v>
                  </c:pt>
                  <c:pt idx="25">
                    <c:v>ROCKWOOL Hardrock 038</c:v>
                  </c:pt>
                  <c:pt idx="26">
                    <c:v>RÖFIX 350 Kalkglätte</c:v>
                  </c:pt>
                  <c:pt idx="27">
                    <c:v>Sand, Kies lufttrocken, Pflanzensubstrat</c:v>
                  </c:pt>
                  <c:pt idx="28">
                    <c:v>Spachtel - Gipsspachtel</c:v>
                  </c:pt>
                  <c:pt idx="29">
                    <c:v>Vlies PP</c:v>
                  </c:pt>
                  <c:pt idx="30">
                    <c:v>Airstop Diva + Dampfbremse</c:v>
                  </c:pt>
                  <c:pt idx="31">
                    <c:v>AUSTROTHERM EPS T650</c:v>
                  </c:pt>
                  <c:pt idx="32">
                    <c:v>Baumit Estriche und Faserestriche (E225, E300, E400)</c:v>
                  </c:pt>
                  <c:pt idx="33">
                    <c:v>Massivholzplatten (3-Schicht, 5-Schicht), Fichte/Tanne (475 kg/m³)</c:v>
                  </c:pt>
                  <c:pt idx="34">
                    <c:v>Polyolefin-Bodenbelag auf Basis von PE und PU (1300 kg/m³)</c:v>
                  </c:pt>
                  <c:pt idx="35">
                    <c:v>Splittschüttung (zementgebunden)</c:v>
                  </c:pt>
                  <c:pt idx="36">
                    <c:v>Trennlage Wütop Metall SK</c:v>
                  </c:pt>
                  <c:pt idx="37">
                    <c:v>Airstop Diva + Dampfbremse</c:v>
                  </c:pt>
                  <c:pt idx="38">
                    <c:v>Anhydritputz</c:v>
                  </c:pt>
                  <c:pt idx="39">
                    <c:v>AUSTROTHERM EPS T650</c:v>
                  </c:pt>
                  <c:pt idx="40">
                    <c:v>Baumit Estriche und Faserestriche (E225, E300, E400)</c:v>
                  </c:pt>
                  <c:pt idx="41">
                    <c:v>Polyolefin-Bodenbelag auf Basis von PE und PU (1300 kg/m³)</c:v>
                  </c:pt>
                  <c:pt idx="42">
                    <c:v>Splittschüttung (zementgebunden)</c:v>
                  </c:pt>
                  <c:pt idx="43">
                    <c:v>Stahlbeton 100 kg/m³ Armierungsstahl (1,25 Vol.%)</c:v>
                  </c:pt>
                  <c:pt idx="44">
                    <c:v>Trennlage Wütop Metall SK</c:v>
                  </c:pt>
                  <c:pt idx="45">
                    <c:v>Airstop Diva + Dampfbremse</c:v>
                  </c:pt>
                  <c:pt idx="46">
                    <c:v>AUSTROTHERM EPS T650</c:v>
                  </c:pt>
                  <c:pt idx="47">
                    <c:v>BACHL PE-Dampfbremsfolie Klasse E, B2, 100µm</c:v>
                  </c:pt>
                  <c:pt idx="48">
                    <c:v>Baumit Estriche und Faserestriche (E225, E300, E400)</c:v>
                  </c:pt>
                  <c:pt idx="49">
                    <c:v>KI Kellerdeckendämmplatte KDP-B-035 plus</c:v>
                  </c:pt>
                  <c:pt idx="50">
                    <c:v>Polyolefin-Bodenbelag auf Basis von PE und PU (1300 kg/m³)</c:v>
                  </c:pt>
                  <c:pt idx="51">
                    <c:v>Splittschüttung (zementgebunden)</c:v>
                  </c:pt>
                  <c:pt idx="52">
                    <c:v>Stahlbeton 100 kg/m³ Armierungsstahl (1,25 Vol.%)</c:v>
                  </c:pt>
                  <c:pt idx="53">
                    <c:v>Airstop Diva + Dampfbremse</c:v>
                  </c:pt>
                  <c:pt idx="54">
                    <c:v>AUSTROTHERM EPS T650</c:v>
                  </c:pt>
                  <c:pt idx="55">
                    <c:v>Baumit Estriche und Faserestriche (E225, E300, E400)</c:v>
                  </c:pt>
                  <c:pt idx="56">
                    <c:v>KI Kellerdeckendämmplatte KDP-B-035 plus</c:v>
                  </c:pt>
                  <c:pt idx="57">
                    <c:v>Polyolefin-Bodenbelag auf Basis von PE und PU (1300 kg/m³)</c:v>
                  </c:pt>
                  <c:pt idx="58">
                    <c:v>Splittschüttung (zementgebunden)</c:v>
                  </c:pt>
                  <c:pt idx="59">
                    <c:v>Stahlbeton 100 kg/m³ Armierungsstahl (1,25 Vol.%)</c:v>
                  </c:pt>
                  <c:pt idx="60">
                    <c:v>Trennlage Wütop Metall SK</c:v>
                  </c:pt>
                  <c:pt idx="61">
                    <c:v>Baumit Estriche und Faserestriche (E225, E300, E400)</c:v>
                  </c:pt>
                  <c:pt idx="62">
                    <c:v>Baupapier</c:v>
                  </c:pt>
                  <c:pt idx="63">
                    <c:v>ISOCELL AIRSTOP Dampfbremse</c:v>
                  </c:pt>
                  <c:pt idx="64">
                    <c:v>ISOVER Akustic EP 3</c:v>
                  </c:pt>
                  <c:pt idx="65">
                    <c:v>KI Kellerdecken-Dämmplatte DP 6 GVN</c:v>
                  </c:pt>
                  <c:pt idx="66">
                    <c:v>Knauf Vidiwall Gipsfaserplatte</c:v>
                  </c:pt>
                  <c:pt idx="67">
                    <c:v>Leichtbetone mit Blähton oder Ziegelsplitt als Leichtgesteinskörnung (1500 kg/m³)</c:v>
                  </c:pt>
                  <c:pt idx="68">
                    <c:v>STEICO LVL X Rimboard</c:v>
                  </c:pt>
                  <c:pt idx="69">
                    <c:v>Trennlage Wütop Metall SK</c:v>
                  </c:pt>
                  <c:pt idx="70">
                    <c:v>Troldtekt Akustikplatten A2</c:v>
                  </c:pt>
                  <c:pt idx="71">
                    <c:v>Weitzer Fertigparkett 3-Schicht</c:v>
                  </c:pt>
                  <c:pt idx="72">
                    <c:v>Stahlbeton 100 kg/m³ Armierungsstahl (1,25 Vol.%)</c:v>
                  </c:pt>
                  <c:pt idx="73">
                    <c:v>Betonplatten</c:v>
                  </c:pt>
                  <c:pt idx="74">
                    <c:v>Böhler HOLZ-FENSTER boe_classic + (Rahmen)</c:v>
                  </c:pt>
                  <c:pt idx="75">
                    <c:v>Glas-Müller SGG CLIMATOP XN 0.5</c:v>
                  </c:pt>
                  <c:pt idx="76">
                    <c:v>Stahlbeton 100 kg/m³ Armierungsstahl (1,25 Vol.%)</c:v>
                  </c:pt>
                  <c:pt idx="77">
                    <c:v>Stahlbeton 100 kg/m³ Armierungsstahl (1,25 Vol.%)</c:v>
                  </c:pt>
                  <c:pt idx="78">
                    <c:v>Stahlbeton 100 kg/m³ Armierungsstahl (1,25 Vol.%)</c:v>
                  </c:pt>
                  <c:pt idx="79">
                    <c:v>Brettsperrholz (475 kg/m³)</c:v>
                  </c:pt>
                  <c:pt idx="80">
                    <c:v>Holzspanplatte (zementgebunden) (1200 kg/m³)</c:v>
                  </c:pt>
                  <c:pt idx="81">
                    <c:v>Konstruktionsvollholz (KVH)</c:v>
                  </c:pt>
                  <c:pt idx="82">
                    <c:v>Massivholzplatten (3-Schicht, 5-Schicht), Fichte/Tanne (475 kg/m³)</c:v>
                  </c:pt>
                  <c:pt idx="83">
                    <c:v>Rema 3-S Massivholzplatte Fichte/Tanne/Lärche</c:v>
                  </c:pt>
                  <c:pt idx="84">
                    <c:v>ROCKWOOL Klemmrock 035</c:v>
                  </c:pt>
                  <c:pt idx="85">
                    <c:v>Unterdeck- und Unterspannbahn Wütop 170 SK</c:v>
                  </c:pt>
                  <c:pt idx="86">
                    <c:v>ISOVER Integra AP Basic Aufsparren-Dämmplatte unkaschiert</c:v>
                  </c:pt>
                  <c:pt idx="87">
                    <c:v>Massivholzplatten (3-Schicht, 5-Schicht), Fichte/Tanne (475 kg/m³)</c:v>
                  </c:pt>
                  <c:pt idx="88">
                    <c:v>Rema 3-S Massivholzplatte Fichte/Tanne/Lärche</c:v>
                  </c:pt>
                  <c:pt idx="89">
                    <c:v>RÖFIX 350 Kalkglätte</c:v>
                  </c:pt>
                  <c:pt idx="90">
                    <c:v>Spachtel - Gipsspachtel</c:v>
                  </c:pt>
                  <c:pt idx="91">
                    <c:v>Stahlbeton 100 kg/m³ Armierungsstahl (1,25 Vol.%)</c:v>
                  </c:pt>
                  <c:pt idx="92">
                    <c:v>Unterdeck- und Unterspannbahn Wütop 170 SK</c:v>
                  </c:pt>
                  <c:pt idx="93">
                    <c:v>AUSTROTHERM RESOLUTION Fassaden-Dämmplatte</c:v>
                  </c:pt>
                  <c:pt idx="94">
                    <c:v>Knauf Vidiwall Gipsfaserplatte</c:v>
                  </c:pt>
                  <c:pt idx="95">
                    <c:v>Konstruktionsvollholz (KVH)</c:v>
                  </c:pt>
                  <c:pt idx="96">
                    <c:v>Planum (Alu)</c:v>
                  </c:pt>
                  <c:pt idx="97">
                    <c:v>ROCKWOOL Klemmrock 035</c:v>
                  </c:pt>
                  <c:pt idx="98">
                    <c:v>RÖFIX 350 Kalkglätte</c:v>
                  </c:pt>
                  <c:pt idx="99">
                    <c:v>Spachtel - Gipsspachtel</c:v>
                  </c:pt>
                  <c:pt idx="100">
                    <c:v>Unterdeck- und Unterspannbahn Wütop 170 SK</c:v>
                  </c:pt>
                  <c:pt idx="101">
                    <c:v>AUSTROTHERM RESOLUTION Fassaden-Dämmplatte</c:v>
                  </c:pt>
                  <c:pt idx="102">
                    <c:v>FERMACELL Gipsfaserplatte</c:v>
                  </c:pt>
                  <c:pt idx="103">
                    <c:v>Holzfaser WF-WV (130 kg/m³)</c:v>
                  </c:pt>
                  <c:pt idx="104">
                    <c:v>ISOCELL AIRSTOP Dampfbremse</c:v>
                  </c:pt>
                  <c:pt idx="105">
                    <c:v>Konstruktionsvollholz (KVH)</c:v>
                  </c:pt>
                  <c:pt idx="106">
                    <c:v>Massivholzplatten (3-Schicht, 5-Schicht), Fichte/Tanne (475 kg/m³)</c:v>
                  </c:pt>
                  <c:pt idx="107">
                    <c:v>ROCKWOOL Klemmrock 035</c:v>
                  </c:pt>
                  <c:pt idx="108">
                    <c:v>Spachtel - Gipsspachtel</c:v>
                  </c:pt>
                  <c:pt idx="109">
                    <c:v>Unterdeck- und Unterspannbahn Wütop Trio Strong</c:v>
                  </c:pt>
                  <c:pt idx="110">
                    <c:v>Stahlbeton 100 kg/m³ Armierungsstahl (1,25 Vol.%)</c:v>
                  </c:pt>
                  <c:pt idx="111">
                    <c:v>Glas (2500 kg/m³)</c:v>
                  </c:pt>
                  <c:pt idx="112">
                    <c:v>Stahlbeton 100 kg/m³ Armierungsstahl (1,25 Vol.%)</c:v>
                  </c:pt>
                  <c:pt idx="113">
                    <c:v>Stahlbeton 100 kg/m³ Armierungsstahl (1,25 Vol.%)</c:v>
                  </c:pt>
                  <c:pt idx="114">
                    <c:v>Gipskartonplatte (700 kg/m³)</c:v>
                  </c:pt>
                  <c:pt idx="115">
                    <c:v>Glaswolle MW(GW)-PT 10 (90 kg/m³)</c:v>
                  </c:pt>
                  <c:pt idx="116">
                    <c:v>RÖFIX 350 Kalkglätte</c:v>
                  </c:pt>
                  <c:pt idx="117">
                    <c:v>Stahlbeton 100 kg/m³ Armierungsstahl (1,25 Vol.%)</c:v>
                  </c:pt>
                </c:lvl>
                <c:lvl>
                  <c:pt idx="0">
                    <c:v>MITTE Bruttoflächen Balkone</c:v>
                  </c:pt>
                  <c:pt idx="1">
                    <c:v>MITTE Flächen Schallschutzloggien (ohne EG)</c:v>
                  </c:pt>
                  <c:pt idx="3">
                    <c:v>DA01</c:v>
                  </c:pt>
                  <c:pt idx="10">
                    <c:v>DA02a</c:v>
                  </c:pt>
                  <c:pt idx="19">
                    <c:v>DA06</c:v>
                  </c:pt>
                  <c:pt idx="30">
                    <c:v>DE01</c:v>
                  </c:pt>
                  <c:pt idx="37">
                    <c:v>DE02</c:v>
                  </c:pt>
                  <c:pt idx="45">
                    <c:v>DE02b</c:v>
                  </c:pt>
                  <c:pt idx="53">
                    <c:v>DE02d</c:v>
                  </c:pt>
                  <c:pt idx="61">
                    <c:v>DE08c</c:v>
                  </c:pt>
                  <c:pt idx="72">
                    <c:v>MITTE UG Decken nicht überbaut</c:v>
                  </c:pt>
                  <c:pt idx="73">
                    <c:v>DA01</c:v>
                  </c:pt>
                  <c:pt idx="74">
                    <c:v>FE01</c:v>
                  </c:pt>
                  <c:pt idx="76">
                    <c:v>MITTE Stützen UG</c:v>
                  </c:pt>
                  <c:pt idx="77">
                    <c:v>SÜD Stützen Laubengang O+P</c:v>
                  </c:pt>
                  <c:pt idx="78">
                    <c:v>SÜD Stützen UG</c:v>
                  </c:pt>
                  <c:pt idx="79">
                    <c:v>AW01</c:v>
                  </c:pt>
                  <c:pt idx="86">
                    <c:v>AW04a</c:v>
                  </c:pt>
                  <c:pt idx="93">
                    <c:v>AW07</c:v>
                  </c:pt>
                  <c:pt idx="101">
                    <c:v>AW10</c:v>
                  </c:pt>
                  <c:pt idx="110">
                    <c:v>MITTE Außenwandflächen UG</c:v>
                  </c:pt>
                  <c:pt idx="111">
                    <c:v>MITTE Glaswandflächen Schallschutzloggien</c:v>
                  </c:pt>
                  <c:pt idx="112">
                    <c:v>MITTE Innenwandflächen UG STB</c:v>
                  </c:pt>
                  <c:pt idx="113">
                    <c:v>SÜD Innenwandflächen UG STB</c:v>
                  </c:pt>
                  <c:pt idx="114">
                    <c:v>IW01</c:v>
                  </c:pt>
                  <c:pt idx="117">
                    <c:v>SÜD Außenwandflächen UG</c:v>
                  </c:pt>
                </c:lvl>
                <c:lvl>
                  <c:pt idx="0">
                    <c:v>Boden</c:v>
                  </c:pt>
                  <c:pt idx="2">
                    <c:v>erdberührt - Wärmestrom nach unten</c:v>
                  </c:pt>
                  <c:pt idx="3">
                    <c:v>Flach- oder Schrägdach gegen Außenluft - nicht hinterlüftet - Wärmestrom nach oben</c:v>
                  </c:pt>
                  <c:pt idx="73">
                    <c:v>^^</c:v>
                  </c:pt>
                  <c:pt idx="74">
                    <c:v>in Wohngebäuden gegen Außenluft, 1 Flügel</c:v>
                  </c:pt>
                  <c:pt idx="76">
                    <c:v>Stk.</c:v>
                  </c:pt>
                  <c:pt idx="79">
                    <c:v>gegen Außenluft - hinterlüftet</c:v>
                  </c:pt>
                  <c:pt idx="110">
                    <c:v>gegen Außenluft - nicht hinterlüftet</c:v>
                  </c:pt>
                  <c:pt idx="112">
                    <c:v>innerhalb einer Wohn- und Betriebseinh. ohne U-Wert-Anforderung</c:v>
                  </c:pt>
                  <c:pt idx="114">
                    <c:v>Nichttragend</c:v>
                  </c:pt>
                  <c:pt idx="117">
                    <c:v>(Leer)</c:v>
                  </c:pt>
                </c:lvl>
                <c:lvl>
                  <c:pt idx="0">
                    <c:v>Boden</c:v>
                  </c:pt>
                  <c:pt idx="3">
                    <c:v>Decke, Dach</c:v>
                  </c:pt>
                  <c:pt idx="74">
                    <c:v>Fenster (transparentes Bauteil)</c:v>
                  </c:pt>
                  <c:pt idx="76">
                    <c:v>Sonstiges</c:v>
                  </c:pt>
                  <c:pt idx="79">
                    <c:v>Wand</c:v>
                  </c:pt>
                </c:lvl>
              </c:multiLvlStrCache>
            </c:multiLvlStrRef>
          </c:cat>
          <c:val>
            <c:numRef>
              <c:f>Pivot!$D$2:$D$161</c:f>
              <c:numCache>
                <c:formatCode>0</c:formatCode>
                <c:ptCount val="118"/>
                <c:pt idx="0">
                  <c:v>0.15291231999999999</c:v>
                </c:pt>
                <c:pt idx="1">
                  <c:v>0.15291231999999999</c:v>
                </c:pt>
                <c:pt idx="2">
                  <c:v>49.850431940299991</c:v>
                </c:pt>
                <c:pt idx="3">
                  <c:v>1.6263311</c:v>
                </c:pt>
                <c:pt idx="4">
                  <c:v>4.2053807000000001</c:v>
                </c:pt>
                <c:pt idx="5">
                  <c:v>4.2053807000000001</c:v>
                </c:pt>
                <c:pt idx="6">
                  <c:v>0.42520023000000001</c:v>
                </c:pt>
                <c:pt idx="7">
                  <c:v>0.82398998999999995</c:v>
                </c:pt>
                <c:pt idx="8">
                  <c:v>7.0793302999999997E-3</c:v>
                </c:pt>
                <c:pt idx="9">
                  <c:v>2.8640924000000001</c:v>
                </c:pt>
                <c:pt idx="10">
                  <c:v>1.6263311</c:v>
                </c:pt>
                <c:pt idx="11">
                  <c:v>4.2053807000000001</c:v>
                </c:pt>
                <c:pt idx="12">
                  <c:v>9.2611880999999993E-2</c:v>
                </c:pt>
                <c:pt idx="13">
                  <c:v>0.82398998999999995</c:v>
                </c:pt>
                <c:pt idx="14">
                  <c:v>0.17729323999999999</c:v>
                </c:pt>
                <c:pt idx="15">
                  <c:v>7.0793302999999997E-3</c:v>
                </c:pt>
                <c:pt idx="16">
                  <c:v>0.16285514000000001</c:v>
                </c:pt>
                <c:pt idx="17">
                  <c:v>0.15291231999999999</c:v>
                </c:pt>
                <c:pt idx="18">
                  <c:v>2.8640924000000001</c:v>
                </c:pt>
                <c:pt idx="19">
                  <c:v>2.8640924000000001</c:v>
                </c:pt>
                <c:pt idx="20">
                  <c:v>8.6145922000000006</c:v>
                </c:pt>
                <c:pt idx="21">
                  <c:v>0.11415136400000001</c:v>
                </c:pt>
                <c:pt idx="22">
                  <c:v>0.37648314999999999</c:v>
                </c:pt>
                <c:pt idx="23">
                  <c:v>5.6032704000000004</c:v>
                </c:pt>
                <c:pt idx="24">
                  <c:v>0.82398998999999995</c:v>
                </c:pt>
                <c:pt idx="25">
                  <c:v>1.7409311000000001</c:v>
                </c:pt>
                <c:pt idx="26">
                  <c:v>0.17729323999999999</c:v>
                </c:pt>
                <c:pt idx="27">
                  <c:v>2.1635005999999998E-2</c:v>
                </c:pt>
                <c:pt idx="28">
                  <c:v>0.16285514000000001</c:v>
                </c:pt>
                <c:pt idx="29">
                  <c:v>2.8640924000000001</c:v>
                </c:pt>
                <c:pt idx="30">
                  <c:v>2.8640924000000001</c:v>
                </c:pt>
                <c:pt idx="31">
                  <c:v>4.2053807000000001</c:v>
                </c:pt>
                <c:pt idx="32">
                  <c:v>0.15118186</c:v>
                </c:pt>
                <c:pt idx="33">
                  <c:v>0.51016185000000003</c:v>
                </c:pt>
                <c:pt idx="34">
                  <c:v>3.9844141999999998</c:v>
                </c:pt>
                <c:pt idx="35">
                  <c:v>2.0272476000000001E-2</c:v>
                </c:pt>
                <c:pt idx="36">
                  <c:v>2.8640924000000001</c:v>
                </c:pt>
                <c:pt idx="37">
                  <c:v>2.8640924000000001</c:v>
                </c:pt>
                <c:pt idx="38">
                  <c:v>0.12708958000000001</c:v>
                </c:pt>
                <c:pt idx="39">
                  <c:v>4.2053807000000001</c:v>
                </c:pt>
                <c:pt idx="40">
                  <c:v>0.15118186</c:v>
                </c:pt>
                <c:pt idx="41">
                  <c:v>3.9844141999999998</c:v>
                </c:pt>
                <c:pt idx="42">
                  <c:v>2.0272476000000001E-2</c:v>
                </c:pt>
                <c:pt idx="43">
                  <c:v>0.15291231999999999</c:v>
                </c:pt>
                <c:pt idx="44">
                  <c:v>2.8640924000000001</c:v>
                </c:pt>
                <c:pt idx="45">
                  <c:v>2.8640924000000001</c:v>
                </c:pt>
                <c:pt idx="46">
                  <c:v>4.2053807000000001</c:v>
                </c:pt>
                <c:pt idx="47">
                  <c:v>2.6102582000000001</c:v>
                </c:pt>
                <c:pt idx="48">
                  <c:v>0.15118186</c:v>
                </c:pt>
                <c:pt idx="49">
                  <c:v>1.7409311000000001</c:v>
                </c:pt>
                <c:pt idx="50">
                  <c:v>3.9844141999999998</c:v>
                </c:pt>
                <c:pt idx="51">
                  <c:v>2.0272476000000001E-2</c:v>
                </c:pt>
                <c:pt idx="52">
                  <c:v>0.15291231999999999</c:v>
                </c:pt>
                <c:pt idx="53">
                  <c:v>2.8640924000000001</c:v>
                </c:pt>
                <c:pt idx="54">
                  <c:v>4.2053807000000001</c:v>
                </c:pt>
                <c:pt idx="55">
                  <c:v>0.15118186</c:v>
                </c:pt>
                <c:pt idx="56">
                  <c:v>1.7409311000000001</c:v>
                </c:pt>
                <c:pt idx="57">
                  <c:v>3.9844141999999998</c:v>
                </c:pt>
                <c:pt idx="58">
                  <c:v>2.0272476000000001E-2</c:v>
                </c:pt>
                <c:pt idx="59">
                  <c:v>0.15291231999999999</c:v>
                </c:pt>
                <c:pt idx="60">
                  <c:v>2.8640924000000001</c:v>
                </c:pt>
                <c:pt idx="61">
                  <c:v>0.15118186</c:v>
                </c:pt>
                <c:pt idx="62">
                  <c:v>0.84515951</c:v>
                </c:pt>
                <c:pt idx="63">
                  <c:v>2.8640924000000001</c:v>
                </c:pt>
                <c:pt idx="64">
                  <c:v>1.7409311000000001</c:v>
                </c:pt>
                <c:pt idx="65">
                  <c:v>1.7409311000000001</c:v>
                </c:pt>
                <c:pt idx="66">
                  <c:v>0.75296629999999998</c:v>
                </c:pt>
                <c:pt idx="67">
                  <c:v>0.34419855999999999</c:v>
                </c:pt>
                <c:pt idx="68">
                  <c:v>1.9154318699999999</c:v>
                </c:pt>
                <c:pt idx="69">
                  <c:v>2.8640924000000001</c:v>
                </c:pt>
                <c:pt idx="70">
                  <c:v>0.40520708</c:v>
                </c:pt>
                <c:pt idx="71">
                  <c:v>0.94918634999999996</c:v>
                </c:pt>
                <c:pt idx="72">
                  <c:v>0.15291231999999999</c:v>
                </c:pt>
                <c:pt idx="73">
                  <c:v>9.2611880999999993E-2</c:v>
                </c:pt>
                <c:pt idx="74">
                  <c:v>131.19</c:v>
                </c:pt>
                <c:pt idx="75">
                  <c:v>61.53</c:v>
                </c:pt>
                <c:pt idx="76">
                  <c:v>0.15291231999999999</c:v>
                </c:pt>
                <c:pt idx="77">
                  <c:v>0.15291231999999999</c:v>
                </c:pt>
                <c:pt idx="78">
                  <c:v>0.15291231999999999</c:v>
                </c:pt>
                <c:pt idx="79">
                  <c:v>0.42520023000000001</c:v>
                </c:pt>
                <c:pt idx="80">
                  <c:v>0.62104773999999996</c:v>
                </c:pt>
                <c:pt idx="81">
                  <c:v>0.21034643</c:v>
                </c:pt>
                <c:pt idx="82">
                  <c:v>0.51016185000000003</c:v>
                </c:pt>
                <c:pt idx="83">
                  <c:v>0.51016185000000003</c:v>
                </c:pt>
                <c:pt idx="84">
                  <c:v>1.7409311000000001</c:v>
                </c:pt>
                <c:pt idx="85">
                  <c:v>2.8640924000000001</c:v>
                </c:pt>
                <c:pt idx="86">
                  <c:v>1.7409311000000001</c:v>
                </c:pt>
                <c:pt idx="87">
                  <c:v>0.51016185000000003</c:v>
                </c:pt>
                <c:pt idx="88">
                  <c:v>0.51016185000000003</c:v>
                </c:pt>
                <c:pt idx="89">
                  <c:v>0.17729323999999999</c:v>
                </c:pt>
                <c:pt idx="90">
                  <c:v>0.16285514000000001</c:v>
                </c:pt>
                <c:pt idx="91">
                  <c:v>0.15291231999999999</c:v>
                </c:pt>
                <c:pt idx="92">
                  <c:v>2.8640924000000001</c:v>
                </c:pt>
                <c:pt idx="93">
                  <c:v>5.0115335999999999</c:v>
                </c:pt>
                <c:pt idx="94">
                  <c:v>1.5059326</c:v>
                </c:pt>
                <c:pt idx="95">
                  <c:v>0.63103929000000003</c:v>
                </c:pt>
                <c:pt idx="96">
                  <c:v>9.1542820999999996</c:v>
                </c:pt>
                <c:pt idx="97">
                  <c:v>5.2227933000000002</c:v>
                </c:pt>
                <c:pt idx="98">
                  <c:v>0.17729323999999999</c:v>
                </c:pt>
                <c:pt idx="99">
                  <c:v>0.16285514000000001</c:v>
                </c:pt>
                <c:pt idx="100">
                  <c:v>2.8640924000000001</c:v>
                </c:pt>
                <c:pt idx="101">
                  <c:v>5.0115335999999999</c:v>
                </c:pt>
                <c:pt idx="102">
                  <c:v>0.75296629999999998</c:v>
                </c:pt>
                <c:pt idx="103">
                  <c:v>0.87899305000000005</c:v>
                </c:pt>
                <c:pt idx="104">
                  <c:v>2.8640924000000001</c:v>
                </c:pt>
                <c:pt idx="105">
                  <c:v>0.21034643</c:v>
                </c:pt>
                <c:pt idx="106">
                  <c:v>0.51016185000000003</c:v>
                </c:pt>
                <c:pt idx="107">
                  <c:v>1.7409311000000001</c:v>
                </c:pt>
                <c:pt idx="108">
                  <c:v>0.16285514000000001</c:v>
                </c:pt>
                <c:pt idx="109">
                  <c:v>2.8640924000000001</c:v>
                </c:pt>
                <c:pt idx="110">
                  <c:v>0.15291231999999999</c:v>
                </c:pt>
                <c:pt idx="111">
                  <c:v>0.97923126999999999</c:v>
                </c:pt>
                <c:pt idx="112">
                  <c:v>0.15291231999999999</c:v>
                </c:pt>
                <c:pt idx="113">
                  <c:v>0.15291231999999999</c:v>
                </c:pt>
                <c:pt idx="114">
                  <c:v>0.42665502</c:v>
                </c:pt>
                <c:pt idx="115">
                  <c:v>2.4220242999999999</c:v>
                </c:pt>
                <c:pt idx="116">
                  <c:v>0.35458647999999998</c:v>
                </c:pt>
                <c:pt idx="117">
                  <c:v>0.15291231999999999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68-40A7-9CD2-FC2304D5686D}"/>
            </c:ext>
          </c:extLst>
        </c:ser>
        <c:ser>
          <c:idx val="3"/>
          <c:order val="3"/>
          <c:tx>
            <c:strRef>
              <c:f>Pivot!$E$1</c:f>
              <c:strCache>
                <c:ptCount val="1"/>
                <c:pt idx="0">
                  <c:v>Summe von Material GWP-biogenic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Pivot!$A$2:$A$161</c:f>
              <c:multiLvlStrCache>
                <c:ptCount val="118"/>
                <c:lvl>
                  <c:pt idx="0">
                    <c:v>Stahlbeton 100 kg/m³ Armierungsstahl (1,25 Vol.%)</c:v>
                  </c:pt>
                  <c:pt idx="1">
                    <c:v>Stahlbeton 100 kg/m³ Armierungsstahl (1,25 Vol.%)</c:v>
                  </c:pt>
                  <c:pt idx="3">
                    <c:v>Aluminium-Bitumendichtungsbahn</c:v>
                  </c:pt>
                  <c:pt idx="4">
                    <c:v>AUSTROTHERM EPS T1000</c:v>
                  </c:pt>
                  <c:pt idx="5">
                    <c:v>AUSTROTHERM EPS W25 PLUS</c:v>
                  </c:pt>
                  <c:pt idx="6">
                    <c:v>Brettsperrholz (475 kg/m³)</c:v>
                  </c:pt>
                  <c:pt idx="7">
                    <c:v>Polymerbitumen-Dichtungsbahn</c:v>
                  </c:pt>
                  <c:pt idx="8">
                    <c:v>Schüttungen aus Sand, Kies, Splitt (1800 kg/m³)</c:v>
                  </c:pt>
                  <c:pt idx="9">
                    <c:v>Vlies PP</c:v>
                  </c:pt>
                  <c:pt idx="10">
                    <c:v>Aluminium-Bitumendichtungsbahn</c:v>
                  </c:pt>
                  <c:pt idx="11">
                    <c:v>AUSTROTHERM EPS W25</c:v>
                  </c:pt>
                  <c:pt idx="12">
                    <c:v>Betonplatten</c:v>
                  </c:pt>
                  <c:pt idx="13">
                    <c:v>Polymerbitumen-Dichtungsbahn</c:v>
                  </c:pt>
                  <c:pt idx="14">
                    <c:v>RÖFIX 350 Kalkglätte</c:v>
                  </c:pt>
                  <c:pt idx="15">
                    <c:v>Schüttungen aus Sand, Kies, Splitt (1800 kg/m³)</c:v>
                  </c:pt>
                  <c:pt idx="16">
                    <c:v>Spachtel - Gipsspachtel</c:v>
                  </c:pt>
                  <c:pt idx="17">
                    <c:v>Stahlbeton 100 kg/m³ Armierungsstahl (1,25 Vol.%)</c:v>
                  </c:pt>
                  <c:pt idx="18">
                    <c:v>Vlies PP</c:v>
                  </c:pt>
                  <c:pt idx="19">
                    <c:v>Airstop Diva Dampfbremse</c:v>
                  </c:pt>
                  <c:pt idx="20">
                    <c:v>BauderPIR Flachdachdämmplatten, dampfdifussionsdicht</c:v>
                  </c:pt>
                  <c:pt idx="21">
                    <c:v>CLT (Cross Laminated Timber) by Stora Enso</c:v>
                  </c:pt>
                  <c:pt idx="22">
                    <c:v>Knauf Vidiwall Gipsfaserplatte</c:v>
                  </c:pt>
                  <c:pt idx="23">
                    <c:v>Polyesterfaser-Dämmstoff</c:v>
                  </c:pt>
                  <c:pt idx="24">
                    <c:v>Polymerbitumen-Dichtungsbahn</c:v>
                  </c:pt>
                  <c:pt idx="25">
                    <c:v>ROCKWOOL Hardrock 038</c:v>
                  </c:pt>
                  <c:pt idx="26">
                    <c:v>RÖFIX 350 Kalkglätte</c:v>
                  </c:pt>
                  <c:pt idx="27">
                    <c:v>Sand, Kies lufttrocken, Pflanzensubstrat</c:v>
                  </c:pt>
                  <c:pt idx="28">
                    <c:v>Spachtel - Gipsspachtel</c:v>
                  </c:pt>
                  <c:pt idx="29">
                    <c:v>Vlies PP</c:v>
                  </c:pt>
                  <c:pt idx="30">
                    <c:v>Airstop Diva + Dampfbremse</c:v>
                  </c:pt>
                  <c:pt idx="31">
                    <c:v>AUSTROTHERM EPS T650</c:v>
                  </c:pt>
                  <c:pt idx="32">
                    <c:v>Baumit Estriche und Faserestriche (E225, E300, E400)</c:v>
                  </c:pt>
                  <c:pt idx="33">
                    <c:v>Massivholzplatten (3-Schicht, 5-Schicht), Fichte/Tanne (475 kg/m³)</c:v>
                  </c:pt>
                  <c:pt idx="34">
                    <c:v>Polyolefin-Bodenbelag auf Basis von PE und PU (1300 kg/m³)</c:v>
                  </c:pt>
                  <c:pt idx="35">
                    <c:v>Splittschüttung (zementgebunden)</c:v>
                  </c:pt>
                  <c:pt idx="36">
                    <c:v>Trennlage Wütop Metall SK</c:v>
                  </c:pt>
                  <c:pt idx="37">
                    <c:v>Airstop Diva + Dampfbremse</c:v>
                  </c:pt>
                  <c:pt idx="38">
                    <c:v>Anhydritputz</c:v>
                  </c:pt>
                  <c:pt idx="39">
                    <c:v>AUSTROTHERM EPS T650</c:v>
                  </c:pt>
                  <c:pt idx="40">
                    <c:v>Baumit Estriche und Faserestriche (E225, E300, E400)</c:v>
                  </c:pt>
                  <c:pt idx="41">
                    <c:v>Polyolefin-Bodenbelag auf Basis von PE und PU (1300 kg/m³)</c:v>
                  </c:pt>
                  <c:pt idx="42">
                    <c:v>Splittschüttung (zementgebunden)</c:v>
                  </c:pt>
                  <c:pt idx="43">
                    <c:v>Stahlbeton 100 kg/m³ Armierungsstahl (1,25 Vol.%)</c:v>
                  </c:pt>
                  <c:pt idx="44">
                    <c:v>Trennlage Wütop Metall SK</c:v>
                  </c:pt>
                  <c:pt idx="45">
                    <c:v>Airstop Diva + Dampfbremse</c:v>
                  </c:pt>
                  <c:pt idx="46">
                    <c:v>AUSTROTHERM EPS T650</c:v>
                  </c:pt>
                  <c:pt idx="47">
                    <c:v>BACHL PE-Dampfbremsfolie Klasse E, B2, 100µm</c:v>
                  </c:pt>
                  <c:pt idx="48">
                    <c:v>Baumit Estriche und Faserestriche (E225, E300, E400)</c:v>
                  </c:pt>
                  <c:pt idx="49">
                    <c:v>KI Kellerdeckendämmplatte KDP-B-035 plus</c:v>
                  </c:pt>
                  <c:pt idx="50">
                    <c:v>Polyolefin-Bodenbelag auf Basis von PE und PU (1300 kg/m³)</c:v>
                  </c:pt>
                  <c:pt idx="51">
                    <c:v>Splittschüttung (zementgebunden)</c:v>
                  </c:pt>
                  <c:pt idx="52">
                    <c:v>Stahlbeton 100 kg/m³ Armierungsstahl (1,25 Vol.%)</c:v>
                  </c:pt>
                  <c:pt idx="53">
                    <c:v>Airstop Diva + Dampfbremse</c:v>
                  </c:pt>
                  <c:pt idx="54">
                    <c:v>AUSTROTHERM EPS T650</c:v>
                  </c:pt>
                  <c:pt idx="55">
                    <c:v>Baumit Estriche und Faserestriche (E225, E300, E400)</c:v>
                  </c:pt>
                  <c:pt idx="56">
                    <c:v>KI Kellerdeckendämmplatte KDP-B-035 plus</c:v>
                  </c:pt>
                  <c:pt idx="57">
                    <c:v>Polyolefin-Bodenbelag auf Basis von PE und PU (1300 kg/m³)</c:v>
                  </c:pt>
                  <c:pt idx="58">
                    <c:v>Splittschüttung (zementgebunden)</c:v>
                  </c:pt>
                  <c:pt idx="59">
                    <c:v>Stahlbeton 100 kg/m³ Armierungsstahl (1,25 Vol.%)</c:v>
                  </c:pt>
                  <c:pt idx="60">
                    <c:v>Trennlage Wütop Metall SK</c:v>
                  </c:pt>
                  <c:pt idx="61">
                    <c:v>Baumit Estriche und Faserestriche (E225, E300, E400)</c:v>
                  </c:pt>
                  <c:pt idx="62">
                    <c:v>Baupapier</c:v>
                  </c:pt>
                  <c:pt idx="63">
                    <c:v>ISOCELL AIRSTOP Dampfbremse</c:v>
                  </c:pt>
                  <c:pt idx="64">
                    <c:v>ISOVER Akustic EP 3</c:v>
                  </c:pt>
                  <c:pt idx="65">
                    <c:v>KI Kellerdecken-Dämmplatte DP 6 GVN</c:v>
                  </c:pt>
                  <c:pt idx="66">
                    <c:v>Knauf Vidiwall Gipsfaserplatte</c:v>
                  </c:pt>
                  <c:pt idx="67">
                    <c:v>Leichtbetone mit Blähton oder Ziegelsplitt als Leichtgesteinskörnung (1500 kg/m³)</c:v>
                  </c:pt>
                  <c:pt idx="68">
                    <c:v>STEICO LVL X Rimboard</c:v>
                  </c:pt>
                  <c:pt idx="69">
                    <c:v>Trennlage Wütop Metall SK</c:v>
                  </c:pt>
                  <c:pt idx="70">
                    <c:v>Troldtekt Akustikplatten A2</c:v>
                  </c:pt>
                  <c:pt idx="71">
                    <c:v>Weitzer Fertigparkett 3-Schicht</c:v>
                  </c:pt>
                  <c:pt idx="72">
                    <c:v>Stahlbeton 100 kg/m³ Armierungsstahl (1,25 Vol.%)</c:v>
                  </c:pt>
                  <c:pt idx="73">
                    <c:v>Betonplatten</c:v>
                  </c:pt>
                  <c:pt idx="74">
                    <c:v>Böhler HOLZ-FENSTER boe_classic + (Rahmen)</c:v>
                  </c:pt>
                  <c:pt idx="75">
                    <c:v>Glas-Müller SGG CLIMATOP XN 0.5</c:v>
                  </c:pt>
                  <c:pt idx="76">
                    <c:v>Stahlbeton 100 kg/m³ Armierungsstahl (1,25 Vol.%)</c:v>
                  </c:pt>
                  <c:pt idx="77">
                    <c:v>Stahlbeton 100 kg/m³ Armierungsstahl (1,25 Vol.%)</c:v>
                  </c:pt>
                  <c:pt idx="78">
                    <c:v>Stahlbeton 100 kg/m³ Armierungsstahl (1,25 Vol.%)</c:v>
                  </c:pt>
                  <c:pt idx="79">
                    <c:v>Brettsperrholz (475 kg/m³)</c:v>
                  </c:pt>
                  <c:pt idx="80">
                    <c:v>Holzspanplatte (zementgebunden) (1200 kg/m³)</c:v>
                  </c:pt>
                  <c:pt idx="81">
                    <c:v>Konstruktionsvollholz (KVH)</c:v>
                  </c:pt>
                  <c:pt idx="82">
                    <c:v>Massivholzplatten (3-Schicht, 5-Schicht), Fichte/Tanne (475 kg/m³)</c:v>
                  </c:pt>
                  <c:pt idx="83">
                    <c:v>Rema 3-S Massivholzplatte Fichte/Tanne/Lärche</c:v>
                  </c:pt>
                  <c:pt idx="84">
                    <c:v>ROCKWOOL Klemmrock 035</c:v>
                  </c:pt>
                  <c:pt idx="85">
                    <c:v>Unterdeck- und Unterspannbahn Wütop 170 SK</c:v>
                  </c:pt>
                  <c:pt idx="86">
                    <c:v>ISOVER Integra AP Basic Aufsparren-Dämmplatte unkaschiert</c:v>
                  </c:pt>
                  <c:pt idx="87">
                    <c:v>Massivholzplatten (3-Schicht, 5-Schicht), Fichte/Tanne (475 kg/m³)</c:v>
                  </c:pt>
                  <c:pt idx="88">
                    <c:v>Rema 3-S Massivholzplatte Fichte/Tanne/Lärche</c:v>
                  </c:pt>
                  <c:pt idx="89">
                    <c:v>RÖFIX 350 Kalkglätte</c:v>
                  </c:pt>
                  <c:pt idx="90">
                    <c:v>Spachtel - Gipsspachtel</c:v>
                  </c:pt>
                  <c:pt idx="91">
                    <c:v>Stahlbeton 100 kg/m³ Armierungsstahl (1,25 Vol.%)</c:v>
                  </c:pt>
                  <c:pt idx="92">
                    <c:v>Unterdeck- und Unterspannbahn Wütop 170 SK</c:v>
                  </c:pt>
                  <c:pt idx="93">
                    <c:v>AUSTROTHERM RESOLUTION Fassaden-Dämmplatte</c:v>
                  </c:pt>
                  <c:pt idx="94">
                    <c:v>Knauf Vidiwall Gipsfaserplatte</c:v>
                  </c:pt>
                  <c:pt idx="95">
                    <c:v>Konstruktionsvollholz (KVH)</c:v>
                  </c:pt>
                  <c:pt idx="96">
                    <c:v>Planum (Alu)</c:v>
                  </c:pt>
                  <c:pt idx="97">
                    <c:v>ROCKWOOL Klemmrock 035</c:v>
                  </c:pt>
                  <c:pt idx="98">
                    <c:v>RÖFIX 350 Kalkglätte</c:v>
                  </c:pt>
                  <c:pt idx="99">
                    <c:v>Spachtel - Gipsspachtel</c:v>
                  </c:pt>
                  <c:pt idx="100">
                    <c:v>Unterdeck- und Unterspannbahn Wütop 170 SK</c:v>
                  </c:pt>
                  <c:pt idx="101">
                    <c:v>AUSTROTHERM RESOLUTION Fassaden-Dämmplatte</c:v>
                  </c:pt>
                  <c:pt idx="102">
                    <c:v>FERMACELL Gipsfaserplatte</c:v>
                  </c:pt>
                  <c:pt idx="103">
                    <c:v>Holzfaser WF-WV (130 kg/m³)</c:v>
                  </c:pt>
                  <c:pt idx="104">
                    <c:v>ISOCELL AIRSTOP Dampfbremse</c:v>
                  </c:pt>
                  <c:pt idx="105">
                    <c:v>Konstruktionsvollholz (KVH)</c:v>
                  </c:pt>
                  <c:pt idx="106">
                    <c:v>Massivholzplatten (3-Schicht, 5-Schicht), Fichte/Tanne (475 kg/m³)</c:v>
                  </c:pt>
                  <c:pt idx="107">
                    <c:v>ROCKWOOL Klemmrock 035</c:v>
                  </c:pt>
                  <c:pt idx="108">
                    <c:v>Spachtel - Gipsspachtel</c:v>
                  </c:pt>
                  <c:pt idx="109">
                    <c:v>Unterdeck- und Unterspannbahn Wütop Trio Strong</c:v>
                  </c:pt>
                  <c:pt idx="110">
                    <c:v>Stahlbeton 100 kg/m³ Armierungsstahl (1,25 Vol.%)</c:v>
                  </c:pt>
                  <c:pt idx="111">
                    <c:v>Glas (2500 kg/m³)</c:v>
                  </c:pt>
                  <c:pt idx="112">
                    <c:v>Stahlbeton 100 kg/m³ Armierungsstahl (1,25 Vol.%)</c:v>
                  </c:pt>
                  <c:pt idx="113">
                    <c:v>Stahlbeton 100 kg/m³ Armierungsstahl (1,25 Vol.%)</c:v>
                  </c:pt>
                  <c:pt idx="114">
                    <c:v>Gipskartonplatte (700 kg/m³)</c:v>
                  </c:pt>
                  <c:pt idx="115">
                    <c:v>Glaswolle MW(GW)-PT 10 (90 kg/m³)</c:v>
                  </c:pt>
                  <c:pt idx="116">
                    <c:v>RÖFIX 350 Kalkglätte</c:v>
                  </c:pt>
                  <c:pt idx="117">
                    <c:v>Stahlbeton 100 kg/m³ Armierungsstahl (1,25 Vol.%)</c:v>
                  </c:pt>
                </c:lvl>
                <c:lvl>
                  <c:pt idx="0">
                    <c:v>MITTE Bruttoflächen Balkone</c:v>
                  </c:pt>
                  <c:pt idx="1">
                    <c:v>MITTE Flächen Schallschutzloggien (ohne EG)</c:v>
                  </c:pt>
                  <c:pt idx="3">
                    <c:v>DA01</c:v>
                  </c:pt>
                  <c:pt idx="10">
                    <c:v>DA02a</c:v>
                  </c:pt>
                  <c:pt idx="19">
                    <c:v>DA06</c:v>
                  </c:pt>
                  <c:pt idx="30">
                    <c:v>DE01</c:v>
                  </c:pt>
                  <c:pt idx="37">
                    <c:v>DE02</c:v>
                  </c:pt>
                  <c:pt idx="45">
                    <c:v>DE02b</c:v>
                  </c:pt>
                  <c:pt idx="53">
                    <c:v>DE02d</c:v>
                  </c:pt>
                  <c:pt idx="61">
                    <c:v>DE08c</c:v>
                  </c:pt>
                  <c:pt idx="72">
                    <c:v>MITTE UG Decken nicht überbaut</c:v>
                  </c:pt>
                  <c:pt idx="73">
                    <c:v>DA01</c:v>
                  </c:pt>
                  <c:pt idx="74">
                    <c:v>FE01</c:v>
                  </c:pt>
                  <c:pt idx="76">
                    <c:v>MITTE Stützen UG</c:v>
                  </c:pt>
                  <c:pt idx="77">
                    <c:v>SÜD Stützen Laubengang O+P</c:v>
                  </c:pt>
                  <c:pt idx="78">
                    <c:v>SÜD Stützen UG</c:v>
                  </c:pt>
                  <c:pt idx="79">
                    <c:v>AW01</c:v>
                  </c:pt>
                  <c:pt idx="86">
                    <c:v>AW04a</c:v>
                  </c:pt>
                  <c:pt idx="93">
                    <c:v>AW07</c:v>
                  </c:pt>
                  <c:pt idx="101">
                    <c:v>AW10</c:v>
                  </c:pt>
                  <c:pt idx="110">
                    <c:v>MITTE Außenwandflächen UG</c:v>
                  </c:pt>
                  <c:pt idx="111">
                    <c:v>MITTE Glaswandflächen Schallschutzloggien</c:v>
                  </c:pt>
                  <c:pt idx="112">
                    <c:v>MITTE Innenwandflächen UG STB</c:v>
                  </c:pt>
                  <c:pt idx="113">
                    <c:v>SÜD Innenwandflächen UG STB</c:v>
                  </c:pt>
                  <c:pt idx="114">
                    <c:v>IW01</c:v>
                  </c:pt>
                  <c:pt idx="117">
                    <c:v>SÜD Außenwandflächen UG</c:v>
                  </c:pt>
                </c:lvl>
                <c:lvl>
                  <c:pt idx="0">
                    <c:v>Boden</c:v>
                  </c:pt>
                  <c:pt idx="2">
                    <c:v>erdberührt - Wärmestrom nach unten</c:v>
                  </c:pt>
                  <c:pt idx="3">
                    <c:v>Flach- oder Schrägdach gegen Außenluft - nicht hinterlüftet - Wärmestrom nach oben</c:v>
                  </c:pt>
                  <c:pt idx="73">
                    <c:v>^^</c:v>
                  </c:pt>
                  <c:pt idx="74">
                    <c:v>in Wohngebäuden gegen Außenluft, 1 Flügel</c:v>
                  </c:pt>
                  <c:pt idx="76">
                    <c:v>Stk.</c:v>
                  </c:pt>
                  <c:pt idx="79">
                    <c:v>gegen Außenluft - hinterlüftet</c:v>
                  </c:pt>
                  <c:pt idx="110">
                    <c:v>gegen Außenluft - nicht hinterlüftet</c:v>
                  </c:pt>
                  <c:pt idx="112">
                    <c:v>innerhalb einer Wohn- und Betriebseinh. ohne U-Wert-Anforderung</c:v>
                  </c:pt>
                  <c:pt idx="114">
                    <c:v>Nichttragend</c:v>
                  </c:pt>
                  <c:pt idx="117">
                    <c:v>(Leer)</c:v>
                  </c:pt>
                </c:lvl>
                <c:lvl>
                  <c:pt idx="0">
                    <c:v>Boden</c:v>
                  </c:pt>
                  <c:pt idx="3">
                    <c:v>Decke, Dach</c:v>
                  </c:pt>
                  <c:pt idx="74">
                    <c:v>Fenster (transparentes Bauteil)</c:v>
                  </c:pt>
                  <c:pt idx="76">
                    <c:v>Sonstiges</c:v>
                  </c:pt>
                  <c:pt idx="79">
                    <c:v>Wand</c:v>
                  </c:pt>
                </c:lvl>
              </c:multiLvlStrCache>
            </c:multiLvlStrRef>
          </c:cat>
          <c:val>
            <c:numRef>
              <c:f>Pivot!$E$2:$E$161</c:f>
              <c:numCache>
                <c:formatCode>0</c:formatCode>
                <c:ptCount val="118"/>
                <c:pt idx="0">
                  <c:v>0</c:v>
                </c:pt>
                <c:pt idx="1">
                  <c:v>0</c:v>
                </c:pt>
                <c:pt idx="2">
                  <c:v>-0.41100000000000003</c:v>
                </c:pt>
                <c:pt idx="3">
                  <c:v>-2.4E-2</c:v>
                </c:pt>
                <c:pt idx="4">
                  <c:v>0</c:v>
                </c:pt>
                <c:pt idx="5">
                  <c:v>0</c:v>
                </c:pt>
                <c:pt idx="6">
                  <c:v>-0.84645000000000004</c:v>
                </c:pt>
                <c:pt idx="7">
                  <c:v>-2E-3</c:v>
                </c:pt>
                <c:pt idx="8">
                  <c:v>0</c:v>
                </c:pt>
                <c:pt idx="9">
                  <c:v>-2.1000000000000001E-2</c:v>
                </c:pt>
                <c:pt idx="10">
                  <c:v>-2.4E-2</c:v>
                </c:pt>
                <c:pt idx="11">
                  <c:v>0</c:v>
                </c:pt>
                <c:pt idx="12">
                  <c:v>0</c:v>
                </c:pt>
                <c:pt idx="13">
                  <c:v>-2E-3</c:v>
                </c:pt>
                <c:pt idx="14">
                  <c:v>-2E-3</c:v>
                </c:pt>
                <c:pt idx="15">
                  <c:v>0</c:v>
                </c:pt>
                <c:pt idx="16">
                  <c:v>-5.0000000000000001E-3</c:v>
                </c:pt>
                <c:pt idx="17">
                  <c:v>0</c:v>
                </c:pt>
                <c:pt idx="18">
                  <c:v>-2.1000000000000001E-2</c:v>
                </c:pt>
                <c:pt idx="19">
                  <c:v>-2.1000000000000001E-2</c:v>
                </c:pt>
                <c:pt idx="20">
                  <c:v>0</c:v>
                </c:pt>
                <c:pt idx="21">
                  <c:v>-1.6202238870000001</c:v>
                </c:pt>
                <c:pt idx="22">
                  <c:v>-0.29199999999999998</c:v>
                </c:pt>
                <c:pt idx="23">
                  <c:v>-8.0000000000000002E-3</c:v>
                </c:pt>
                <c:pt idx="24">
                  <c:v>-2E-3</c:v>
                </c:pt>
                <c:pt idx="25">
                  <c:v>0</c:v>
                </c:pt>
                <c:pt idx="26">
                  <c:v>-2E-3</c:v>
                </c:pt>
                <c:pt idx="27">
                  <c:v>0</c:v>
                </c:pt>
                <c:pt idx="28">
                  <c:v>-5.0000000000000001E-3</c:v>
                </c:pt>
                <c:pt idx="29">
                  <c:v>-2.1000000000000001E-2</c:v>
                </c:pt>
                <c:pt idx="30">
                  <c:v>-2.1000000000000001E-2</c:v>
                </c:pt>
                <c:pt idx="31">
                  <c:v>0</c:v>
                </c:pt>
                <c:pt idx="32">
                  <c:v>0</c:v>
                </c:pt>
                <c:pt idx="33">
                  <c:v>-0.83545000000000003</c:v>
                </c:pt>
                <c:pt idx="34">
                  <c:v>0</c:v>
                </c:pt>
                <c:pt idx="35">
                  <c:v>0</c:v>
                </c:pt>
                <c:pt idx="36">
                  <c:v>-2.1000000000000001E-2</c:v>
                </c:pt>
                <c:pt idx="37">
                  <c:v>-2.1000000000000001E-2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-2.1000000000000001E-2</c:v>
                </c:pt>
                <c:pt idx="45">
                  <c:v>-2.1000000000000001E-2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-2.1000000000000001E-2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-2.1000000000000001E-2</c:v>
                </c:pt>
                <c:pt idx="61">
                  <c:v>0</c:v>
                </c:pt>
                <c:pt idx="62">
                  <c:v>-1.796</c:v>
                </c:pt>
                <c:pt idx="63">
                  <c:v>-2.1000000000000001E-2</c:v>
                </c:pt>
                <c:pt idx="64">
                  <c:v>0</c:v>
                </c:pt>
                <c:pt idx="65">
                  <c:v>0</c:v>
                </c:pt>
                <c:pt idx="66">
                  <c:v>-0.58399999999999996</c:v>
                </c:pt>
                <c:pt idx="67">
                  <c:v>0</c:v>
                </c:pt>
                <c:pt idx="68">
                  <c:v>-2.4469500000000002</c:v>
                </c:pt>
                <c:pt idx="69">
                  <c:v>-2.1000000000000001E-2</c:v>
                </c:pt>
                <c:pt idx="70">
                  <c:v>-0.55100000000000005</c:v>
                </c:pt>
                <c:pt idx="71">
                  <c:v>-0.82830000000000004</c:v>
                </c:pt>
                <c:pt idx="72">
                  <c:v>0</c:v>
                </c:pt>
                <c:pt idx="73">
                  <c:v>0</c:v>
                </c:pt>
                <c:pt idx="74">
                  <c:v>-51.958500000000001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-0.84645000000000004</c:v>
                </c:pt>
                <c:pt idx="80">
                  <c:v>-0.13969999999999999</c:v>
                </c:pt>
                <c:pt idx="81">
                  <c:v>-0.90859999999999996</c:v>
                </c:pt>
                <c:pt idx="82">
                  <c:v>-0.83545000000000003</c:v>
                </c:pt>
                <c:pt idx="83">
                  <c:v>-0.83545000000000003</c:v>
                </c:pt>
                <c:pt idx="84">
                  <c:v>0</c:v>
                </c:pt>
                <c:pt idx="85">
                  <c:v>-2.1000000000000001E-2</c:v>
                </c:pt>
                <c:pt idx="86">
                  <c:v>0</c:v>
                </c:pt>
                <c:pt idx="87">
                  <c:v>-0.83545000000000003</c:v>
                </c:pt>
                <c:pt idx="88">
                  <c:v>-0.83545000000000003</c:v>
                </c:pt>
                <c:pt idx="89">
                  <c:v>-2E-3</c:v>
                </c:pt>
                <c:pt idx="90">
                  <c:v>-5.0000000000000001E-3</c:v>
                </c:pt>
                <c:pt idx="91">
                  <c:v>0</c:v>
                </c:pt>
                <c:pt idx="92">
                  <c:v>-2.1000000000000001E-2</c:v>
                </c:pt>
                <c:pt idx="93">
                  <c:v>0</c:v>
                </c:pt>
                <c:pt idx="94">
                  <c:v>-1.1679999999999999</c:v>
                </c:pt>
                <c:pt idx="95">
                  <c:v>-2.7258</c:v>
                </c:pt>
                <c:pt idx="96">
                  <c:v>-8.9999999999999993E-3</c:v>
                </c:pt>
                <c:pt idx="97">
                  <c:v>0</c:v>
                </c:pt>
                <c:pt idx="98">
                  <c:v>-2E-3</c:v>
                </c:pt>
                <c:pt idx="99">
                  <c:v>-5.0000000000000001E-3</c:v>
                </c:pt>
                <c:pt idx="100">
                  <c:v>-2.1000000000000001E-2</c:v>
                </c:pt>
                <c:pt idx="101">
                  <c:v>0</c:v>
                </c:pt>
                <c:pt idx="102">
                  <c:v>-0.58399999999999996</c:v>
                </c:pt>
                <c:pt idx="103">
                  <c:v>-0.89100000000000001</c:v>
                </c:pt>
                <c:pt idx="104">
                  <c:v>-2.1000000000000001E-2</c:v>
                </c:pt>
                <c:pt idx="105">
                  <c:v>-0.90859999999999996</c:v>
                </c:pt>
                <c:pt idx="106">
                  <c:v>-0.83545000000000003</c:v>
                </c:pt>
                <c:pt idx="107">
                  <c:v>0</c:v>
                </c:pt>
                <c:pt idx="108">
                  <c:v>-5.0000000000000001E-3</c:v>
                </c:pt>
                <c:pt idx="109">
                  <c:v>-2.1000000000000001E-2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-6.4000000000000001E-2</c:v>
                </c:pt>
                <c:pt idx="115">
                  <c:v>-5.0000000000000001E-3</c:v>
                </c:pt>
                <c:pt idx="116">
                  <c:v>-4.0000000000000001E-3</c:v>
                </c:pt>
                <c:pt idx="1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68-40A7-9CD2-FC2304D56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1517872"/>
        <c:axId val="1381507792"/>
      </c:barChart>
      <c:catAx>
        <c:axId val="138151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1507792"/>
        <c:crosses val="autoZero"/>
        <c:auto val="1"/>
        <c:lblAlgn val="ctr"/>
        <c:lblOffset val="100"/>
        <c:noMultiLvlLbl val="0"/>
      </c:catAx>
      <c:valAx>
        <c:axId val="138150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151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723899</xdr:colOff>
      <xdr:row>0</xdr:row>
      <xdr:rowOff>0</xdr:rowOff>
    </xdr:from>
    <xdr:to>
      <xdr:col>23</xdr:col>
      <xdr:colOff>628650</xdr:colOff>
      <xdr:row>52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50748EB-ED7F-D15F-4F66-6F6B1E6F5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1047750</xdr:colOff>
          <xdr:row>1</xdr:row>
          <xdr:rowOff>133350</xdr:rowOff>
        </xdr:from>
        <xdr:to>
          <xdr:col>0</xdr:col>
          <xdr:colOff>2762250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Aptos Narrow"/>
                </a:rPr>
                <a:t>📲⬇️</a:t>
              </a:r>
            </a:p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Aptos Narrow"/>
                </a:rPr>
                <a:t>Import eco2soft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1066\Documents\Code\peexcel\peexcel\ka_PEQ_Nachweistool_DEV.xlsb" TargetMode="External"/><Relationship Id="rId1" Type="http://schemas.openxmlformats.org/officeDocument/2006/relationships/externalLinkPath" Target="/Users/ma1066/Documents/Code/peexcel/peexcel/ka_PEQ_Nachweistool_DEV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▶"/>
      <sheetName val="ℹ"/>
      <sheetName val="Wetter"/>
      <sheetName val="🏙️"/>
      <sheetName val="🧱"/>
      <sheetName val="🔥H"/>
      <sheetName val="❄️K"/>
      <sheetName val="💧WW"/>
      <sheetName val="💨L"/>
      <sheetName val="PV-Import"/>
      <sheetName val="🌞PV"/>
      <sheetName val="🔋"/>
      <sheetName val="💰ECO"/>
      <sheetName val="🚦Signals"/>
      <sheetName val="🚗"/>
      <sheetName val="☁THG"/>
      <sheetName val="BTK_A"/>
      <sheetName val="BT-Katalog"/>
      <sheetName val="👤"/>
      <sheetName val="⚖"/>
      <sheetName val="👤ZR"/>
      <sheetName val="English Input"/>
      <sheetName val="Solar"/>
      <sheetName val="Scale"/>
      <sheetName val="ECars"/>
      <sheetName val="🚗🔌Ecar"/>
      <sheetName val="Pkm"/>
      <sheetName val="⚙"/>
      <sheetName val="SCEN"/>
      <sheetName val="RANGES"/>
      <sheetName val="Bauteile"/>
      <sheetName val="Mobilität"/>
      <sheetName val="PECO2"/>
      <sheetName val="Varianten"/>
      <sheetName val="🚗MIV"/>
      <sheetName val="IN"/>
      <sheetName val="PRESETS"/>
      <sheetName val="SIM2"/>
      <sheetName val="SIM"/>
      <sheetName val="KontextD"/>
      <sheetName val="KontextM"/>
      <sheetName val="KontextO"/>
      <sheetName val="OUT"/>
      <sheetName val="📈"/>
      <sheetName val="📊Erg"/>
      <sheetName val="🔍var"/>
      <sheetName val="🔍tab"/>
      <sheetName val="Dashboard"/>
      <sheetName val="📊FW-GAS-WP"/>
      <sheetName val="📈MIV"/>
      <sheetName val="☁️🔍"/>
      <sheetName val="🧪Daily"/>
      <sheetName val="var2"/>
      <sheetName val="🏆 PEQ"/>
      <sheetName val="🏆PEQ+M"/>
      <sheetName val="🏆KN PEQ"/>
      <sheetName val="🧪TSD"/>
      <sheetName val="Namen"/>
      <sheetName val="log"/>
      <sheetName val="ka_PEQ_Nachweistool_DE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234">
          <cell r="K234">
            <v>31799.16</v>
          </cell>
        </row>
        <row r="710">
          <cell r="K710">
            <v>2735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Krainer" refreshedDate="45965.446142129629" createdVersion="8" refreshedVersion="8" minRefreshableVersion="3" recordCount="144" xr:uid="{7C3D4B5B-0020-4A32-B756-61D4E064F76F}">
  <cacheSource type="worksheet">
    <worksheetSource name="Bauteile"/>
  </cacheSource>
  <cacheFields count="106">
    <cacheField name="Gebäudeschlüssel" numFmtId="0">
      <sharedItems containsSemiMixedTypes="0" containsString="0" containsNumber="1" containsInteger="1" minValue="25306" maxValue="25306"/>
    </cacheField>
    <cacheField name="Gebäudebezeichnung" numFmtId="0">
      <sharedItems/>
    </cacheField>
    <cacheField name="Betrachtungszeitraum" numFmtId="0">
      <sharedItems containsSemiMixedTypes="0" containsString="0" containsNumber="1" containsInteger="1" minValue="50" maxValue="50"/>
    </cacheField>
    <cacheField name="Nutzungsdauer" numFmtId="0">
      <sharedItems/>
    </cacheField>
    <cacheField name="Nutzungsdauerkatalog" numFmtId="0">
      <sharedItems containsSemiMixedTypes="0" containsString="0" containsNumber="1" containsInteger="1" minValue="2" maxValue="2"/>
    </cacheField>
    <cacheField name="Bezugsgröße, Kürzel" numFmtId="0">
      <sharedItems/>
    </cacheField>
    <cacheField name="Bezugsgröße, Zahlenwert" numFmtId="0">
      <sharedItems containsSemiMixedTypes="0" containsString="0" containsNumber="1" minValue="31799.16" maxValue="31799.16"/>
    </cacheField>
    <cacheField name="Bezugsgröße, Einheit" numFmtId="0">
      <sharedItems/>
    </cacheField>
    <cacheField name="Richtwertekatalog" numFmtId="0">
      <sharedItems containsSemiMixedTypes="0" containsString="0" containsNumber="1" containsInteger="1" minValue="4" maxValue="4"/>
    </cacheField>
    <cacheField name="BGF" numFmtId="0">
      <sharedItems containsSemiMixedTypes="0" containsString="0" containsNumber="1" minValue="31799.16" maxValue="31799.16"/>
    </cacheField>
    <cacheField name="BZF" numFmtId="0">
      <sharedItems containsNonDate="0" containsString="0" containsBlank="1"/>
    </cacheField>
    <cacheField name="KOF" numFmtId="0">
      <sharedItems containsSemiMixedTypes="0" containsString="0" containsNumber="1" minValue="79425.445013999997" maxValue="79425.445013999997"/>
    </cacheField>
    <cacheField name="KOF lc" numFmtId="0">
      <sharedItems containsNonDate="0" containsString="0" containsBlank="1"/>
    </cacheField>
    <cacheField name="Sanierungsjahr" numFmtId="0">
      <sharedItems containsNonDate="0" containsString="0" containsBlank="1"/>
    </cacheField>
    <cacheField name="Bauteil-Schlüssel" numFmtId="0">
      <sharedItems containsSemiMixedTypes="0" containsString="0" containsNumber="1" containsInteger="1" minValue="774743" maxValue="796290"/>
    </cacheField>
    <cacheField name="Bauteilbezeichnung" numFmtId="0">
      <sharedItems count="29">
        <s v="AW01"/>
        <s v="AW04a"/>
        <s v="AW07"/>
        <s v="AW10"/>
        <s v="DA01"/>
        <s v="DA02a"/>
        <s v="DA06"/>
        <s v="DE01"/>
        <s v="DE02"/>
        <s v="DE02b"/>
        <s v="DE02d"/>
        <s v="DE08c"/>
        <s v="FPL04"/>
        <s v="MITTE Außenwandflächen UG"/>
        <s v="MITTE Gesamtfundamentplatte UG"/>
        <s v="MITTE Glaswandflächen Schallschutzloggien"/>
        <s v="MITTE Innenwandflächen UG STB"/>
        <s v="MITTE UG Decken nicht überbaut"/>
        <s v="SÜD Außenwandflächen UG"/>
        <s v="SÜD Betonfläche Laubengang OP+Treppenhäuser"/>
        <s v="SÜD Gesamtfundamentplatte UG"/>
        <s v="SÜD Innenwandflächen UG STB"/>
        <s v="FE01"/>
        <s v="IW01"/>
        <s v="MITTE Stützen UG"/>
        <s v="SÜD Stützen Laubengang O+P"/>
        <s v="SÜD Stützen UG"/>
        <s v="MITTE Bruttoflächen Balkone"/>
        <s v="MITTE Flächen Schallschutzloggien (ohne EG)"/>
      </sharedItems>
    </cacheField>
    <cacheField name="Bauteiltyp-Schlüssel" numFmtId="0">
      <sharedItems containsSemiMixedTypes="0" containsString="0" containsNumber="1" containsInteger="1" minValue="101" maxValue="250"/>
    </cacheField>
    <cacheField name="Gebäudeteil" numFmtId="0">
      <sharedItems/>
    </cacheField>
    <cacheField name="sonstige nuw" numFmtId="0">
      <sharedItems/>
    </cacheField>
    <cacheField name="Bauteilfläche ges." numFmtId="0">
      <sharedItems containsSemiMixedTypes="0" containsString="0" containsNumber="1" minValue="20" maxValue="15000"/>
    </cacheField>
    <cacheField name="Rahmenbreite" numFmtId="0">
      <sharedItems containsString="0" containsBlank="1" containsNumber="1" minValue="0.111" maxValue="0.111"/>
    </cacheField>
    <cacheField name="Material-Schlüssel" numFmtId="0">
      <sharedItems containsString="0" containsBlank="1" containsNumber="1" containsInteger="1" minValue="2142685464" maxValue="2142738743"/>
    </cacheField>
    <cacheField name="Materialbezeichnung" numFmtId="0">
      <sharedItems count="58">
        <s v="Brettsperrholz (475 kg/m³)"/>
        <s v="ROCKWOOL Klemmrock 035"/>
        <s v="Konstruktionsvollholz (KVH)"/>
        <s v="Holzspanplatte (zementgebunden) (1200 kg/m³)"/>
        <s v="Unterdeck- und Unterspannbahn Wütop 170 SK"/>
        <s v="Massivholzplatten (3-Schicht, 5-Schicht), Fichte/Tanne (475 kg/m³)"/>
        <s v="Rema 3-S Massivholzplatte Fichte/Tanne/Lärche"/>
        <s v="RÖFIX 350 Kalkglätte"/>
        <s v="Spachtel - Gipsspachtel"/>
        <s v="Stahlbeton 100 kg/m³ Armierungsstahl (1,25 Vol.%)"/>
        <s v="ISOVER Integra AP Basic Aufsparren-Dämmplatte unkaschiert"/>
        <s v="Knauf Vidiwall Gipsfaserplatte"/>
        <s v="Planum (Alu)"/>
        <s v="AUSTROTHERM RESOLUTION Fassaden-Dämmplatte"/>
        <s v="FERMACELL Gipsfaserplatte"/>
        <s v="ISOCELL AIRSTOP Dampfbremse"/>
        <s v="Holzfaser WF-WV (130 kg/m³)"/>
        <s v="Unterdeck- und Unterspannbahn Wütop Trio Strong"/>
        <s v="Betonplatten"/>
        <s v="Schüttungen aus Sand, Kies, Splitt (1800 kg/m³)"/>
        <s v="Vlies PP"/>
        <s v="Polymerbitumen-Dichtungsbahn"/>
        <s v="AUSTROTHERM EPS W25 PLUS"/>
        <s v="AUSTROTHERM EPS T1000"/>
        <s v="Aluminium-Bitumendichtungsbahn"/>
        <s v="AUSTROTHERM EPS W25"/>
        <s v="Sand, Kies lufttrocken, Pflanzensubstrat"/>
        <s v="Polyesterfaser-Dämmstoff"/>
        <s v="BauderPIR Flachdachdämmplatten, dampfdifussionsdicht"/>
        <s v="ROCKWOOL Hardrock 038"/>
        <s v="Airstop Diva Dampfbremse"/>
        <s v="CLT (Cross Laminated Timber) by Stora Enso"/>
        <s v="Polyolefin-Bodenbelag auf Basis von PE und PU (1300 kg/m³)"/>
        <s v="Baumit Estriche und Faserestriche (E225, E300, E400)"/>
        <s v="Trennlage Wütop Metall SK"/>
        <s v="AUSTROTHERM EPS T650"/>
        <s v="Airstop Diva + Dampfbremse"/>
        <s v="Splittschüttung (zementgebunden)"/>
        <s v="Anhydritputz"/>
        <s v="BACHL PE-Dampfbremsfolie Klasse E, B2, 100µm"/>
        <s v="KI Kellerdeckendämmplatte KDP-B-035 plus"/>
        <s v="Weitzer Fertigparkett 3-Schicht"/>
        <s v="Baupapier"/>
        <s v="Troldtekt Akustikplatten A2"/>
        <s v="ISOVER Akustic EP 3"/>
        <s v="STEICO LVL X Rimboard"/>
        <s v="Leichtbetone mit Blähton oder Ziegelsplitt als Leichtgesteinskörnung (1500 kg/m³)"/>
        <s v="KI Kellerdecken-Dämmplatte DP 6 GVN"/>
        <s v="Fliesen (2300 kg/m³)"/>
        <s v="Knauf Brio Fertigteilestriche"/>
        <s v="Würth Dampfsperre Wütop DS Alu"/>
        <s v="AUSTROTHERM XPS TOP 30 SF"/>
        <s v="Glas (2500 kg/m³)"/>
        <s v="Normalbeton Durchschnitt mit CEM II/A"/>
        <s v="Böhler HOLZ-FENSTER boe_classic + (Rahmen)"/>
        <s v="Glas-Müller SGG CLIMATOP XN 0.5"/>
        <s v="Glaswolle MW(GW)-PT 10 (90 kg/m³)"/>
        <s v="Gipskartonplatte (700 kg/m³)"/>
      </sharedItems>
    </cacheField>
    <cacheField name="Schichtbezeichnung" numFmtId="0">
      <sharedItems containsBlank="1"/>
    </cacheField>
    <cacheField name="Schicht-Dicke" numFmtId="0">
      <sharedItems containsString="0" containsBlank="1" containsNumber="1" minValue="1E-4" maxValue="0.6"/>
    </cacheField>
    <cacheField name="1. S_Kategorie" numFmtId="0">
      <sharedItems containsNonDate="0" containsString="0" containsBlank="1"/>
    </cacheField>
    <cacheField name="1. Bauteil-Kategorie" numFmtId="0">
      <sharedItems containsNonDate="0" containsString="0" containsBlank="1"/>
    </cacheField>
    <cacheField name="2. S_Kategorie" numFmtId="0">
      <sharedItems containsNonDate="0" containsString="0" containsBlank="1"/>
    </cacheField>
    <cacheField name="2. Bauteil-Kategorie" numFmtId="0">
      <sharedItems containsNonDate="0" containsString="0" containsBlank="1"/>
    </cacheField>
    <cacheField name="3. S_Kategorie" numFmtId="0">
      <sharedItems containsNonDate="0" containsString="0" containsBlank="1"/>
    </cacheField>
    <cacheField name="3. Bauteil-Kategorie" numFmtId="0">
      <sharedItems containsNonDate="0" containsString="0" containsBlank="1"/>
    </cacheField>
    <cacheField name="Bauteiltyp" numFmtId="0">
      <sharedItems containsBlank="1" count="11">
        <s v="gegen Außenluft - hinterlüftet"/>
        <s v="^^"/>
        <s v="Flach- oder Schrägdach gegen Außenluft - nicht hinterlüftet - Wärmestrom nach oben"/>
        <s v="erdberührt - Wärmestrom nach unten"/>
        <s v="gegen Außenluft - nicht hinterlüftet"/>
        <s v="innerhalb einer Wohn- und Betriebseinh. ohne U-Wert-Anforderung"/>
        <m/>
        <s v="in Wohngebäuden gegen Außenluft, 1 Flügel"/>
        <s v="Nichttragend"/>
        <s v="Stk."/>
        <s v="Boden"/>
      </sharedItems>
    </cacheField>
    <cacheField name="Bauteiltypgruppe" numFmtId="0">
      <sharedItems count="5">
        <s v="Wand"/>
        <s v="Decke, Dach"/>
        <s v="Boden"/>
        <s v="Fenster (transparentes Bauteil)"/>
        <s v="Sonstiges"/>
      </sharedItems>
    </cacheField>
    <cacheField name="Schichtanteil" numFmtId="0">
      <sharedItems containsSemiMixedTypes="0" containsString="0" containsNumber="1" minValue="0.2" maxValue="1"/>
    </cacheField>
    <cacheField name="Volumen" numFmtId="0">
      <sharedItems containsString="0" containsBlank="1" containsNumber="1" minValue="1E-4" maxValue="0.6"/>
    </cacheField>
    <cacheField name="Dichte" numFmtId="0">
      <sharedItems containsString="0" containsBlank="1" containsNumber="1" containsInteger="1" minValue="11" maxValue="2800"/>
    </cacheField>
    <cacheField name="Masse" numFmtId="0">
      <sharedItems containsString="0" containsBlank="1" containsNumber="1" minValue="6.5000000000000002E-2" maxValue="1395"/>
    </cacheField>
    <cacheField name="Menge" numFmtId="0">
      <sharedItems containsString="0" containsBlank="1" containsNumber="1" containsInteger="1" minValue="575" maxValue="1507"/>
    </cacheField>
    <cacheField name="Menge Final" numFmtId="0">
      <sharedItems containsSemiMixedTypes="0" containsString="0" containsNumber="1" minValue="6.5000000000000002E-2" maxValue="1395"/>
    </cacheField>
    <cacheField name="Menge Final Gesamt" numFmtId="0">
      <sharedItems containsSemiMixedTypes="0" containsString="0" containsNumber="1" minValue="4.7826000000000004" maxValue="19223100"/>
    </cacheField>
    <cacheField name="Menge pro m² BZF" numFmtId="0">
      <sharedItems containsSemiMixedTypes="0" containsString="0" containsNumber="1" minValue="1.5040019925055E-4" maxValue="604.51596834633006"/>
    </cacheField>
    <cacheField name="FE_Bauteil" numFmtId="0">
      <sharedItems/>
    </cacheField>
    <cacheField name="FE_Material" numFmtId="0">
      <sharedItems/>
    </cacheField>
    <cacheField name="Kategorie-Schlüssel" numFmtId="0">
      <sharedItems containsSemiMixedTypes="0" containsString="0" containsNumber="1" containsInteger="1" minValue="30358" maxValue="30363"/>
    </cacheField>
    <cacheField name="Kategorie" numFmtId="0">
      <sharedItems/>
    </cacheField>
    <cacheField name="Schichtsortierung" numFmtId="0">
      <sharedItems containsBlank="1" containsMixedTypes="1" containsNumber="1" containsInteger="1" minValue="1" maxValue="13"/>
    </cacheField>
    <cacheField name="Schichtsortierung_inh" numFmtId="0">
      <sharedItems containsString="0" containsBlank="1" containsNumber="1" containsInteger="1" minValue="1" maxValue="2"/>
    </cacheField>
    <cacheField name="Schicht_U_relevant" numFmtId="0">
      <sharedItems/>
    </cacheField>
    <cacheField name="Schicht_ND_Anzahl" numFmtId="0">
      <sharedItems containsSemiMixedTypes="0" containsString="0" containsNumber="1" containsInteger="1" minValue="0" maxValue="1"/>
    </cacheField>
    <cacheField name="Schicht_ND_FINAL" numFmtId="0">
      <sharedItems containsSemiMixedTypes="0" containsString="0" containsNumber="1" containsInteger="1" minValue="25" maxValue="100"/>
    </cacheField>
    <cacheField name="Schicht_ND_Kat Jahre" numFmtId="0">
      <sharedItems containsSemiMixedTypes="0" containsString="0" containsNumber="1" containsInteger="1" minValue="25" maxValue="100"/>
    </cacheField>
    <cacheField name="Schicht_ND_Kat_Bezeichnung" numFmtId="0">
      <sharedItems/>
    </cacheField>
    <cacheField name="Schicht_ND_eigene_Eingabe" numFmtId="0">
      <sharedItems containsString="0" containsBlank="1" containsNumber="1" containsInteger="1" minValue="50" maxValue="50"/>
    </cacheField>
    <cacheField name="Baujahr" numFmtId="0">
      <sharedItems containsNonDate="0" containsString="0" containsBlank="1"/>
    </cacheField>
    <cacheField name="Entsorgung_Ist" numFmtId="0">
      <sharedItems containsString="0" containsBlank="1" containsNumber="1" containsInteger="1" minValue="1" maxValue="5"/>
    </cacheField>
    <cacheField name="Entsorgung_Ist2" numFmtId="0">
      <sharedItems containsNonDate="0" containsString="0" containsBlank="1"/>
    </cacheField>
    <cacheField name="Entsorgung_Pot" numFmtId="0">
      <sharedItems containsString="0" containsBlank="1" containsNumber="1" containsInteger="1" minValue="1" maxValue="5"/>
    </cacheField>
    <cacheField name="Entsorgung_Pot2" numFmtId="0">
      <sharedItems containsNonDate="0" containsString="0" containsBlank="1"/>
    </cacheField>
    <cacheField name="Entsorgung_Min" numFmtId="0">
      <sharedItems containsString="0" containsBlank="1" containsNumber="1" containsInteger="1" minValue="0" maxValue="100"/>
    </cacheField>
    <cacheField name="Entsorgung_Org" numFmtId="0">
      <sharedItems containsString="0" containsBlank="1" containsNumber="1" containsInteger="1" minValue="0" maxValue="100"/>
    </cacheField>
    <cacheField name="Entsorgung_Met" numFmtId="0">
      <sharedItems containsString="0" containsBlank="1" containsNumber="1" containsInteger="1" minValue="0" maxValue="100"/>
    </cacheField>
    <cacheField name="EI-Summand" numFmtId="0">
      <sharedItems containsNonDate="0" containsString="0" containsBlank="1"/>
    </cacheField>
    <cacheField name="Material PENRT" numFmtId="0">
      <sharedItems containsSemiMixedTypes="0" containsString="0" containsNumber="1" minValue="0.10370840000000001" maxValue="2283.21"/>
    </cacheField>
    <cacheField name="Material PENRE" numFmtId="0">
      <sharedItems containsSemiMixedTypes="0" containsString="0" containsNumber="1" minValue="0.10370840000000001" maxValue="2197"/>
    </cacheField>
    <cacheField name="Material PENRM" numFmtId="0">
      <sharedItems containsSemiMixedTypes="0" containsString="0" containsNumber="1" minValue="0" maxValue="86.21"/>
    </cacheField>
    <cacheField name="Material PERT" numFmtId="0">
      <sharedItems containsSemiMixedTypes="0" containsString="0" containsNumber="1" minValue="2.6199716999999998E-3" maxValue="1176.6300000000001"/>
    </cacheField>
    <cacheField name="Material PERE" numFmtId="0">
      <sharedItems containsSemiMixedTypes="0" containsString="0" containsNumber="1" minValue="2.6199716999999998E-3" maxValue="84.2"/>
    </cacheField>
    <cacheField name="Material PERM" numFmtId="0">
      <sharedItems containsSemiMixedTypes="0" containsString="0" containsNumber="1" minValue="0" maxValue="1092.43"/>
    </cacheField>
    <cacheField name="Material GWP-total" numFmtId="0">
      <sharedItems containsSemiMixedTypes="0" containsString="0" containsNumber="1" minValue="-1.5060725230000001" maxValue="79.231499999999997"/>
    </cacheField>
    <cacheField name="Material GWP-fossil" numFmtId="0">
      <sharedItems containsSemiMixedTypes="0" containsString="0" containsNumber="1" minValue="7.0793302999999997E-3" maxValue="131.19"/>
    </cacheField>
    <cacheField name="Material GWP-biogenic" numFmtId="0">
      <sharedItems containsSemiMixedTypes="0" containsString="0" containsNumber="1" minValue="-51.958500000000001" maxValue="0"/>
    </cacheField>
    <cacheField name="Material AP" numFmtId="0">
      <sharedItems containsMixedTypes="1" containsNumber="1" minValue="1.6944177999999999E-4" maxValue="0.61399999999999999"/>
    </cacheField>
    <cacheField name="Material EP" numFmtId="0">
      <sharedItems containsBlank="1" containsMixedTypes="1" containsNumber="1" minValue="1.1144267E-4" maxValue="0.34089999999999998"/>
    </cacheField>
    <cacheField name="Material POCP" numFmtId="0">
      <sharedItems containsBlank="1" containsMixedTypes="1" containsNumber="1" minValue="1.2757719E-4" maxValue="7.3200000000000001E-2"/>
    </cacheField>
    <cacheField name="Material ODP" numFmtId="0">
      <sharedItems containsBlank="1"/>
    </cacheField>
    <cacheField name="OI3_ab_BG: (Sub)Schicht/nuwrb" numFmtId="0">
      <sharedItems containsString="0" containsBlank="1" containsNumber="1" containsInteger="1" minValue="0" maxValue="1"/>
    </cacheField>
    <cacheField name="OI3_ab_BG: Bauteil" numFmtId="0">
      <sharedItems containsSemiMixedTypes="0" containsString="0" containsNumber="1" containsInteger="1" minValue="0" maxValue="4"/>
    </cacheField>
    <cacheField name="OI3_BG: Gebäude" numFmtId="0">
      <sharedItems containsSemiMixedTypes="0" containsString="0" containsNumber="1" containsInteger="1" minValue="6" maxValue="6"/>
    </cacheField>
    <cacheField name="m² Bt PENRT" numFmtId="0">
      <sharedItems containsSemiMixedTypes="0" containsString="0" containsNumber="1" minValue="3.0673550000000001" maxValue="2359.9693843"/>
    </cacheField>
    <cacheField name="m² Bt PENRE" numFmtId="0">
      <sharedItems containsSemiMixedTypes="0" containsString="0" containsNumber="1" minValue="3.0673550000000001" maxValue="2359.9693843"/>
    </cacheField>
    <cacheField name="m² Bt PENRM" numFmtId="0">
      <sharedItems containsSemiMixedTypes="0" containsString="0" containsNumber="1" minValue="0" maxValue="535.84519999999998"/>
    </cacheField>
    <cacheField name="m² Bt PERT" numFmtId="0">
      <sharedItems containsSemiMixedTypes="0" containsString="0" containsNumber="1" minValue="0.19348889999999999" maxValue="2025.749956896"/>
    </cacheField>
    <cacheField name="m² Bt PERE" numFmtId="0">
      <sharedItems containsSemiMixedTypes="0" containsString="0" containsNumber="1" minValue="0.19348889999999999" maxValue="733.33866"/>
    </cacheField>
    <cacheField name="m² Bt PERM" numFmtId="0">
      <sharedItems containsSemiMixedTypes="0" containsString="0" containsNumber="1" minValue="0" maxValue="1821.8602484999999"/>
    </cacheField>
    <cacheField name="m² Bt GWP-total" numFmtId="0">
      <sharedItems containsSemiMixedTypes="0" containsString="0" containsNumber="1" minValue="-171.692267622" maxValue="230.43886624000001"/>
    </cacheField>
    <cacheField name="m² Bt GWP-fossil" numFmtId="0">
      <sharedItems containsSemiMixedTypes="0" containsString="0" containsNumber="1" minValue="0.16285514000000001" maxValue="230.43886624000001"/>
    </cacheField>
    <cacheField name="m² Bt GWP-biogenic" numFmtId="0">
      <sharedItems containsSemiMixedTypes="0" containsString="0" containsNumber="1" minValue="-184.705523118" maxValue="0"/>
    </cacheField>
    <cacheField name="m² Bt AP" numFmtId="0">
      <sharedItems containsSemiMixedTypes="0" containsString="0" containsNumber="1" minValue="6.0359172000000005E-4" maxValue="0.63690678000000001"/>
    </cacheField>
    <cacheField name="m² Bt EP" numFmtId="0">
      <sharedItems containsString="0" containsBlank="1" containsNumber="1" minValue="2.7267961000000001E-4" maxValue="0.37156747221000003"/>
    </cacheField>
    <cacheField name="m² Bt POCP" numFmtId="0">
      <sharedItems containsBlank="1" containsMixedTypes="1" containsNumber="1" minValue="1.1017396600000001E-4" maxValue="0.17012459184000001"/>
    </cacheField>
    <cacheField name="m² Bt ODP" numFmtId="0">
      <sharedItems containsBlank="1"/>
    </cacheField>
    <cacheField name="Delta-OI3" numFmtId="0">
      <sharedItems containsSemiMixedTypes="0" containsString="0" containsNumber="1" minValue="-13.1391761416" maxValue="195.70165323133"/>
    </cacheField>
    <cacheField name="OI-KON" numFmtId="0">
      <sharedItems containsSemiMixedTypes="0" containsString="0" containsNumber="1" minValue="-6.4169443893332998" maxValue="244.23418852482999"/>
    </cacheField>
    <cacheField name="Geb PENRT" numFmtId="0">
      <sharedItems containsSemiMixedTypes="0" containsString="0" containsNumber="1" minValue="7.8875548394989007E-3" maxValue="946.67496855859997"/>
    </cacheField>
    <cacheField name="Geb PENRE" numFmtId="0">
      <sharedItems containsSemiMixedTypes="0" containsString="0" containsNumber="1" minValue="7.8875548394989007E-3" maxValue="946.67496855859997"/>
    </cacheField>
    <cacheField name="Geb PENRM" numFmtId="0">
      <sharedItems containsSemiMixedTypes="0" containsString="0" containsNumber="1" minValue="0" maxValue="105.77713373560999"/>
    </cacheField>
    <cacheField name="Geb PERT" numFmtId="0">
      <sharedItems containsSemiMixedTypes="0" containsString="0" containsNumber="1" minValue="3.9172541047877E-4" maxValue="871.72116315336996"/>
    </cacheField>
    <cacheField name="Geb PERE" numFmtId="0">
      <sharedItems containsSemiMixedTypes="0" containsString="0" containsNumber="1" minValue="3.9172541047877E-4" maxValue="31.219263103176001"/>
    </cacheField>
    <cacheField name="Geb PERM" numFmtId="0">
      <sharedItems containsSemiMixedTypes="0" containsString="0" containsNumber="1" minValue="0" maxValue="840.50190005018999"/>
    </cacheField>
    <cacheField name="Geb GWP-total" numFmtId="0">
      <sharedItems containsSemiMixedTypes="0" containsString="0" containsNumber="1" minValue="-16.03467434753" maxValue="92.437939196884003"/>
    </cacheField>
    <cacheField name="Geb GWP-fossil" numFmtId="0">
      <sharedItems containsSemiMixedTypes="0" containsString="0" containsNumber="1" minValue="4.1877410591349001E-4" maxValue="92.437939196884003"/>
    </cacheField>
    <cacheField name="Geb GWP-biogenic" numFmtId="0">
      <sharedItems containsSemiMixedTypes="0" containsString="0" containsNumber="1" minValue="-41.182467555747003" maxValue="0"/>
    </cacheField>
    <cacheField name="Geb AP" numFmtId="0">
      <sharedItems containsMixedTypes="1" containsNumber="1" minValue="1.019508189305E-4" maxValue="0.23656008341692"/>
    </cacheField>
    <cacheField name="Geb EP" numFmtId="0">
      <sharedItems containsBlank="1" containsMixedTypes="1" containsNumber="1" minValue="1.0269028084515E-4" maxValue="0.14905007980692001"/>
    </cacheField>
    <cacheField name="Geb POCP" numFmtId="0">
      <sharedItems containsBlank="1" containsMixedTypes="1" containsNumber="1" minValue="1.0121301712249E-4" maxValue="5.1227815121532003E-2"/>
    </cacheField>
    <cacheField name="Geb OD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Krainer" refreshedDate="45967.561714467593" createdVersion="8" refreshedVersion="8" minRefreshableVersion="3" recordCount="145" xr:uid="{15B8D880-ACC9-4F14-90F1-CA3284DCEBEA}">
  <cacheSource type="worksheet">
    <worksheetSource ref="A3:DB5000" sheet="e2s"/>
  </cacheSource>
  <cacheFields count="106">
    <cacheField name="Gebäudeschlüssel" numFmtId="0">
      <sharedItems containsString="0" containsBlank="1" containsNumber="1" containsInteger="1" minValue="25868" maxValue="25868"/>
    </cacheField>
    <cacheField name="Gebäudebezeichnung" numFmtId="0">
      <sharedItems containsBlank="1"/>
    </cacheField>
    <cacheField name="Betrachtungszeitraum" numFmtId="0">
      <sharedItems containsString="0" containsBlank="1" containsNumber="1" containsInteger="1" minValue="50" maxValue="50"/>
    </cacheField>
    <cacheField name="Nutzungsdauer" numFmtId="0">
      <sharedItems containsBlank="1"/>
    </cacheField>
    <cacheField name="Nutzungsdauerkatalog" numFmtId="0">
      <sharedItems containsString="0" containsBlank="1" containsNumber="1" containsInteger="1" minValue="2" maxValue="2"/>
    </cacheField>
    <cacheField name="Bezugsgröße, Kürzel" numFmtId="0">
      <sharedItems containsBlank="1"/>
    </cacheField>
    <cacheField name="Bezugsgröße, Zahlenwert" numFmtId="0">
      <sharedItems containsString="0" containsBlank="1" containsNumber="1" minValue="31799.16" maxValue="31799.16"/>
    </cacheField>
    <cacheField name="Bezugsgröße, Einheit" numFmtId="0">
      <sharedItems containsBlank="1"/>
    </cacheField>
    <cacheField name="Richtwertekatalog" numFmtId="0">
      <sharedItems containsString="0" containsBlank="1" containsNumber="1" containsInteger="1" minValue="4" maxValue="4"/>
    </cacheField>
    <cacheField name="BGF" numFmtId="0">
      <sharedItems containsString="0" containsBlank="1" containsNumber="1" minValue="31799.16" maxValue="31799.16"/>
    </cacheField>
    <cacheField name="BZF" numFmtId="0">
      <sharedItems containsNonDate="0" containsString="0" containsBlank="1" count="1">
        <m/>
      </sharedItems>
    </cacheField>
    <cacheField name="KOF" numFmtId="0">
      <sharedItems containsString="0" containsBlank="1" containsNumber="1" minValue="92117.401014000003" maxValue="92117.401014000003"/>
    </cacheField>
    <cacheField name="KOF lc" numFmtId="0">
      <sharedItems containsNonDate="0" containsString="0" containsBlank="1"/>
    </cacheField>
    <cacheField name="Sanierungsjahr" numFmtId="0">
      <sharedItems containsNonDate="0" containsString="0" containsBlank="1"/>
    </cacheField>
    <cacheField name="Bauteil-Schlüssel" numFmtId="0">
      <sharedItems containsString="0" containsBlank="1" containsNumber="1" containsInteger="1" minValue="796822" maxValue="796850"/>
    </cacheField>
    <cacheField name="Bauteilbezeichnung" numFmtId="0">
      <sharedItems containsBlank="1" count="30">
        <s v="AW01"/>
        <s v="AW04a"/>
        <s v="AW07"/>
        <s v="AW10"/>
        <s v="DA01"/>
        <s v="DA02a"/>
        <s v="DA06"/>
        <s v="DE01"/>
        <s v="DE02"/>
        <s v="DE02b"/>
        <s v="DE02d"/>
        <s v="DE08c"/>
        <s v="FPL04"/>
        <s v="MITTE Außenwandflächen UG"/>
        <s v="MITTE Gesamtfundamentplatte UG"/>
        <s v="MITTE Glaswandflächen Schallschutzloggien"/>
        <s v="MITTE Innenwandflächen UG STB"/>
        <s v="MITTE UG Decken nicht überbaut"/>
        <s v="SÜD Außenwandflächen UG"/>
        <s v="SÜD Betonfläche Laubengang OP+Treppenhäuser"/>
        <s v="SÜD Gesamtfundamentplatte UG"/>
        <s v="SÜD Innenwandflächen UG STB"/>
        <s v="FE01"/>
        <s v="IW01"/>
        <s v="MITTE Stützen UG"/>
        <s v="SÜD Stützen Laubengang O+P"/>
        <s v="SÜD Stützen UG"/>
        <s v="MITTE Bruttoflächen Balkone"/>
        <s v="MITTE Flächen Schallschutzloggien (ohne EG)"/>
        <m/>
      </sharedItems>
    </cacheField>
    <cacheField name="Bauteiltyp-Schlüssel" numFmtId="0">
      <sharedItems containsString="0" containsBlank="1" containsNumber="1" containsInteger="1" minValue="101" maxValue="250"/>
    </cacheField>
    <cacheField name="Gebäudeteil" numFmtId="0">
      <sharedItems containsBlank="1"/>
    </cacheField>
    <cacheField name="sonstige nuw" numFmtId="0">
      <sharedItems containsBlank="1"/>
    </cacheField>
    <cacheField name="Bauteilfläche ges." numFmtId="0">
      <sharedItems containsString="0" containsBlank="1" containsNumber="1" minValue="0" maxValue="27492"/>
    </cacheField>
    <cacheField name="Rahmenbreite" numFmtId="0">
      <sharedItems containsString="0" containsBlank="1" containsNumber="1" minValue="0.111" maxValue="0.111"/>
    </cacheField>
    <cacheField name="Material-Schlüssel" numFmtId="0">
      <sharedItems containsString="0" containsBlank="1" containsNumber="1" containsInteger="1" minValue="2142685464" maxValue="2142738743"/>
    </cacheField>
    <cacheField name="Materialbezeichnung" numFmtId="0">
      <sharedItems containsBlank="1" count="60">
        <s v="Brettsperrholz (475 kg/m³)"/>
        <s v="ROCKWOOL Klemmrock 035"/>
        <s v="Konstruktionsvollholz (KVH)"/>
        <s v="Holzspanplatte (zementgebunden) (1200 kg/m³)"/>
        <s v="Unterdeck- und Unterspannbahn Wütop 170 SK"/>
        <s v="Massivholzplatten (3-Schicht, 5-Schicht), Fichte/Tanne (475 kg/m³)"/>
        <s v="Rema 3-S Massivholzplatte Fichte/Tanne/Lärche"/>
        <s v="RÖFIX 350 Kalkglätte"/>
        <s v="Spachtel - Gipsspachtel"/>
        <s v="Stahlbeton 100 kg/m³ Armierungsstahl (1,25 Vol.%)"/>
        <s v="ISOVER Integra AP Basic Aufsparren-Dämmplatte unkaschiert"/>
        <s v="Knauf Vidiwall Gipsfaserplatte"/>
        <s v="Planum (Alu)"/>
        <s v="AUSTROTHERM RESOLUTION Fassaden-Dämmplatte"/>
        <s v="FERMACELL Gipsfaserplatte"/>
        <s v="ISOCELL AIRSTOP Dampfbremse"/>
        <s v="Holzfaser WF-WV (130 kg/m³)"/>
        <s v="Unterdeck- und Unterspannbahn Wütop Trio Strong"/>
        <s v="Betonplatten"/>
        <s v="Schüttungen aus Sand, Kies, Splitt (1800 kg/m³)"/>
        <s v="Vlies PP"/>
        <s v="Polymerbitumen-Dichtungsbahn"/>
        <s v="AUSTROTHERM EPS W25 PLUS"/>
        <s v="AUSTROTHERM EPS T1000"/>
        <s v="Aluminium-Bitumendichtungsbahn"/>
        <s v="AUSTROTHERM EPS W25"/>
        <s v="Sand, Kies lufttrocken, Pflanzensubstrat"/>
        <s v="Polyesterfaser-Dämmstoff"/>
        <s v="BauderPIR Flachdachdämmplatten, dampfdifussionsdicht"/>
        <s v="ROCKWOOL Hardrock 038"/>
        <s v="Airstop Diva Dampfbremse"/>
        <s v="CLT (Cross Laminated Timber) by Stora Enso"/>
        <s v="Tarkett Linoleumböden"/>
        <s v="Baumit Estriche und Faserestriche (E225, E300, E400)"/>
        <s v="Trennlage Wütop Metall SK"/>
        <s v="AUSTROTHERM EPS T650"/>
        <s v="Airstop Diva + Dampfbremse"/>
        <s v="Splittschüttung (zementgebunden)"/>
        <s v="Polyolefin-Bodenbelag auf Basis von PE und PU (1300 kg/m³)"/>
        <s v="Anhydritputz"/>
        <s v="BACHL PE-Dampfbremsfolie Klasse E, B2, 100µm"/>
        <s v="KI Kellerdeckendämmplatte KDP-B-035 plus"/>
        <s v="Weitzer Fertigparkett 3-Schicht"/>
        <s v="Baupapier"/>
        <s v="Troldtekt Akustikplatten A2"/>
        <s v="ISOVER Akustic EP 3"/>
        <s v="STEICO LVL X Rimboard"/>
        <s v="Leichtbetone mit Blähton oder Ziegelsplitt als Leichtgesteinskörnung (1500 kg/m³)"/>
        <s v="KI Kellerdecken-Dämmplatte DP 6 GVN"/>
        <s v="Fliesen (2300 kg/m³)"/>
        <s v="Knauf Brio Fertigteilestriche"/>
        <s v="Würth Dampfsperre Wütop DS Alu"/>
        <s v="AUSTROTHERM XPS TOP 30 SF"/>
        <s v="Glas (2500 kg/m³)"/>
        <s v="Normalbeton Durchschnitt mit CEM II/A"/>
        <s v="Böhler HOLZ-FENSTER boe_classic + (Rahmen)"/>
        <s v="Glas-Müller SGG CLIMATOP XN 0.5"/>
        <s v="Glaswolle MW(GW)-PT 10 (90 kg/m³)"/>
        <s v="Gipskartonplatte (700 kg/m³)"/>
        <m/>
      </sharedItems>
    </cacheField>
    <cacheField name="Schichtbezeichnung" numFmtId="0">
      <sharedItems containsBlank="1" count="5">
        <m/>
        <s v="EPS"/>
        <s v="Höhenausgleichsplatte"/>
        <s v="Rahmen"/>
        <s v="Verglasung"/>
      </sharedItems>
    </cacheField>
    <cacheField name="Schicht-Dicke" numFmtId="0">
      <sharedItems containsString="0" containsBlank="1" containsNumber="1" minValue="1E-4" maxValue="0.6"/>
    </cacheField>
    <cacheField name="1. S_Kategorie" numFmtId="0">
      <sharedItems containsNonDate="0" containsString="0" containsBlank="1"/>
    </cacheField>
    <cacheField name="1. Bauteil-Kategorie" numFmtId="0">
      <sharedItems containsNonDate="0" containsString="0" containsBlank="1"/>
    </cacheField>
    <cacheField name="2. S_Kategorie" numFmtId="0">
      <sharedItems containsNonDate="0" containsString="0" containsBlank="1"/>
    </cacheField>
    <cacheField name="2. Bauteil-Kategorie" numFmtId="0">
      <sharedItems containsNonDate="0" containsString="0" containsBlank="1"/>
    </cacheField>
    <cacheField name="3. S_Kategorie" numFmtId="0">
      <sharedItems containsNonDate="0" containsString="0" containsBlank="1"/>
    </cacheField>
    <cacheField name="3. Bauteil-Kategorie" numFmtId="0">
      <sharedItems containsNonDate="0" containsString="0" containsBlank="1"/>
    </cacheField>
    <cacheField name="Bauteiltyp" numFmtId="0">
      <sharedItems containsBlank="1" count="10">
        <s v="gegen Außenluft - hinterlüftet"/>
        <s v="Flach- oder Schrägdach gegen Außenluft - nicht hinterlüftet - Wärmestrom nach oben"/>
        <s v="erdberührt - Wärmestrom nach unten"/>
        <s v="gegen Außenluft - nicht hinterlüftet"/>
        <s v="innerhalb einer Wohn- und Betriebseinh. ohne U-Wert-Anforderung"/>
        <s v="in Wohngebäuden gegen Außenluft, 1 Flügel"/>
        <s v="Nichttragend"/>
        <s v="Stk."/>
        <s v="Boden"/>
        <m/>
      </sharedItems>
    </cacheField>
    <cacheField name="Bauteiltypgruppe" numFmtId="0">
      <sharedItems containsBlank="1" count="6">
        <s v="Wand"/>
        <s v="Decke, Dach"/>
        <s v="Boden"/>
        <s v="Fenster (transparentes Bauteil)"/>
        <s v="Sonstiges"/>
        <m/>
      </sharedItems>
    </cacheField>
    <cacheField name="Schichtanteil" numFmtId="0">
      <sharedItems containsString="0" containsBlank="1" containsNumber="1" minValue="0.2" maxValue="1"/>
    </cacheField>
    <cacheField name="Volumen" numFmtId="0">
      <sharedItems containsString="0" containsBlank="1" containsNumber="1" minValue="1E-4" maxValue="0.6"/>
    </cacheField>
    <cacheField name="Dichte" numFmtId="0">
      <sharedItems containsString="0" containsBlank="1" containsNumber="1" containsInteger="1" minValue="11" maxValue="2800"/>
    </cacheField>
    <cacheField name="Masse" numFmtId="0">
      <sharedItems containsString="0" containsBlank="1" containsNumber="1" minValue="6.5000000000000002E-2" maxValue="1395"/>
    </cacheField>
    <cacheField name="Menge" numFmtId="0">
      <sharedItems containsString="0" containsBlank="1" containsNumber="1" containsInteger="1" minValue="575" maxValue="1507"/>
    </cacheField>
    <cacheField name="Menge Final" numFmtId="0">
      <sharedItems containsString="0" containsBlank="1" containsNumber="1" minValue="6.5000000000000002E-2" maxValue="1395"/>
    </cacheField>
    <cacheField name="Menge Final Gesamt" numFmtId="0">
      <sharedItems containsString="0" containsBlank="1" containsNumber="1" minValue="0" maxValue="19223100"/>
    </cacheField>
    <cacheField name="Menge pro m² BZF" numFmtId="0">
      <sharedItems containsString="0" containsBlank="1" containsNumber="1" minValue="0" maxValue="604.51596834633006"/>
    </cacheField>
    <cacheField name="FE_Bauteil" numFmtId="0">
      <sharedItems containsBlank="1"/>
    </cacheField>
    <cacheField name="FE_Material" numFmtId="0">
      <sharedItems containsBlank="1"/>
    </cacheField>
    <cacheField name="Kategorie-Schlüssel" numFmtId="0">
      <sharedItems containsString="0" containsBlank="1" containsNumber="1" containsInteger="1" minValue="30358" maxValue="30363"/>
    </cacheField>
    <cacheField name="Kategorie" numFmtId="0">
      <sharedItems containsBlank="1" count="5">
        <s v="Bauteile aus dem Energieausweis"/>
        <s v="Innenwände"/>
        <s v="Untergeschoss (Tiefgaragen, Keller)"/>
        <s v="Balkone und Terrassen"/>
        <m/>
      </sharedItems>
    </cacheField>
    <cacheField name="Schichtsortierung" numFmtId="0">
      <sharedItems containsBlank="1" containsMixedTypes="1" containsNumber="1" containsInteger="1" minValue="1" maxValue="13"/>
    </cacheField>
    <cacheField name="Schichtsortierung_inh" numFmtId="0">
      <sharedItems containsString="0" containsBlank="1" containsNumber="1" containsInteger="1" minValue="1" maxValue="2" count="3">
        <n v="1"/>
        <n v="2"/>
        <m/>
      </sharedItems>
    </cacheField>
    <cacheField name="Schicht_U_relevant" numFmtId="0">
      <sharedItems containsBlank="1"/>
    </cacheField>
    <cacheField name="Schicht_ND_Anzahl" numFmtId="0">
      <sharedItems containsString="0" containsBlank="1" containsNumber="1" containsInteger="1" minValue="0" maxValue="1"/>
    </cacheField>
    <cacheField name="Schicht_ND_FINAL" numFmtId="0">
      <sharedItems containsString="0" containsBlank="1" containsNumber="1" containsInteger="1" minValue="25" maxValue="100" count="5">
        <n v="50"/>
        <n v="25"/>
        <n v="35"/>
        <n v="100"/>
        <m/>
      </sharedItems>
    </cacheField>
    <cacheField name="Schicht_ND_Kat Jahre" numFmtId="0">
      <sharedItems containsString="0" containsBlank="1" containsNumber="1" containsInteger="1" minValue="25" maxValue="100"/>
    </cacheField>
    <cacheField name="Schicht_ND_Kat_Bezeichnung" numFmtId="0">
      <sharedItems containsBlank="1"/>
    </cacheField>
    <cacheField name="Schicht_ND_eigene_Eingabe" numFmtId="0">
      <sharedItems containsString="0" containsBlank="1" containsNumber="1" containsInteger="1" minValue="50" maxValue="100"/>
    </cacheField>
    <cacheField name="Baujahr" numFmtId="0">
      <sharedItems containsNonDate="0" containsString="0" containsBlank="1"/>
    </cacheField>
    <cacheField name="Entsorgung_Ist" numFmtId="0">
      <sharedItems containsString="0" containsBlank="1" containsNumber="1" containsInteger="1" minValue="1" maxValue="5"/>
    </cacheField>
    <cacheField name="Entsorgung_Ist2" numFmtId="0">
      <sharedItems containsNonDate="0" containsString="0" containsBlank="1"/>
    </cacheField>
    <cacheField name="Entsorgung_Pot" numFmtId="0">
      <sharedItems containsString="0" containsBlank="1" containsNumber="1" containsInteger="1" minValue="1" maxValue="5"/>
    </cacheField>
    <cacheField name="Entsorgung_Pot2" numFmtId="0">
      <sharedItems containsNonDate="0" containsString="0" containsBlank="1"/>
    </cacheField>
    <cacheField name="Entsorgung_Min" numFmtId="0">
      <sharedItems containsString="0" containsBlank="1" containsNumber="1" containsInteger="1" minValue="0" maxValue="100"/>
    </cacheField>
    <cacheField name="Entsorgung_Org" numFmtId="0">
      <sharedItems containsString="0" containsBlank="1" containsNumber="1" containsInteger="1" minValue="0" maxValue="100"/>
    </cacheField>
    <cacheField name="Entsorgung_Met" numFmtId="0">
      <sharedItems containsString="0" containsBlank="1" containsNumber="1" containsInteger="1" minValue="0" maxValue="100"/>
    </cacheField>
    <cacheField name="EI-Summand" numFmtId="0">
      <sharedItems containsNonDate="0" containsString="0" containsBlank="1"/>
    </cacheField>
    <cacheField name="Material PENRT" numFmtId="0">
      <sharedItems containsString="0" containsBlank="1" containsNumber="1" minValue="0.10370840000000001" maxValue="2283.21"/>
    </cacheField>
    <cacheField name="Material PENRE" numFmtId="0">
      <sharedItems containsString="0" containsBlank="1" containsNumber="1" minValue="0.10370840000000001" maxValue="2197"/>
    </cacheField>
    <cacheField name="Material PENRM" numFmtId="0">
      <sharedItems containsString="0" containsBlank="1" containsNumber="1" minValue="0" maxValue="86.21"/>
    </cacheField>
    <cacheField name="Material PERT" numFmtId="0">
      <sharedItems containsString="0" containsBlank="1" containsNumber="1" minValue="2.6199716999999998E-3" maxValue="1176.6300000000001"/>
    </cacheField>
    <cacheField name="Material PERE" numFmtId="0">
      <sharedItems containsString="0" containsBlank="1" containsNumber="1" minValue="2.6199716999999998E-3" maxValue="84.2"/>
    </cacheField>
    <cacheField name="Material PERM" numFmtId="0">
      <sharedItems containsString="0" containsBlank="1" containsNumber="1" minValue="0" maxValue="1092.43"/>
    </cacheField>
    <cacheField name="Material GWP-total" numFmtId="0">
      <sharedItems containsString="0" containsBlank="1" containsNumber="1" minValue="-1.5060725230000001" maxValue="79.231499999999997"/>
    </cacheField>
    <cacheField name="Material GWP-fossil" numFmtId="0">
      <sharedItems containsString="0" containsBlank="1" containsNumber="1" minValue="7.0793302999999997E-3" maxValue="131.19"/>
    </cacheField>
    <cacheField name="Material GWP-biogenic" numFmtId="0">
      <sharedItems containsString="0" containsBlank="1" containsNumber="1" minValue="-51.958500000000001" maxValue="0"/>
    </cacheField>
    <cacheField name="Material AP" numFmtId="0">
      <sharedItems containsString="0" containsBlank="1" containsNumber="1" minValue="4.8332080000000003E-5" maxValue="0.61399999999999999"/>
    </cacheField>
    <cacheField name="Material EP" numFmtId="0">
      <sharedItems containsString="0" containsBlank="1" containsNumber="1" minValue="1.4589555E-5" maxValue="0.34089999999999998"/>
    </cacheField>
    <cacheField name="Material POCP" numFmtId="0">
      <sharedItems containsString="0" containsBlank="1" containsNumber="1" minValue="5.2414253000000002E-6" maxValue="7.3200000000000001E-2"/>
    </cacheField>
    <cacheField name="Material ODP" numFmtId="0">
      <sharedItems containsString="0" containsBlank="1" containsNumber="1" minValue="7.5267095999999998E-10" maxValue="8.6840259999999997E-6"/>
    </cacheField>
    <cacheField name="OI3_ab_BG: (Sub)Schicht/nuwrb" numFmtId="0">
      <sharedItems containsString="0" containsBlank="1" containsNumber="1" containsInteger="1" minValue="0" maxValue="1"/>
    </cacheField>
    <cacheField name="OI3_ab_BG: Bauteil" numFmtId="0">
      <sharedItems containsString="0" containsBlank="1" containsNumber="1" containsInteger="1" minValue="0" maxValue="4"/>
    </cacheField>
    <cacheField name="OI3_BG: Gebäude" numFmtId="0">
      <sharedItems containsString="0" containsBlank="1" containsNumber="1" containsInteger="1" minValue="6" maxValue="6"/>
    </cacheField>
    <cacheField name="m² Bt PENRT" numFmtId="0">
      <sharedItems containsString="0" containsBlank="1" containsNumber="1" minValue="3.0673550000000001" maxValue="2359.9693843"/>
    </cacheField>
    <cacheField name="m² Bt PENRE" numFmtId="0">
      <sharedItems containsString="0" containsBlank="1" containsNumber="1" minValue="3.0673550000000001" maxValue="2359.9693843"/>
    </cacheField>
    <cacheField name="m² Bt PENRM" numFmtId="0">
      <sharedItems containsString="0" containsBlank="1" containsNumber="1" minValue="0" maxValue="535.84519999999998"/>
    </cacheField>
    <cacheField name="m² Bt PERT" numFmtId="0">
      <sharedItems containsString="0" containsBlank="1" containsNumber="1" minValue="0.19348889999999999" maxValue="2025.749956896"/>
    </cacheField>
    <cacheField name="m² Bt PERE" numFmtId="0">
      <sharedItems containsString="0" containsBlank="1" containsNumber="1" minValue="0.19348889999999999" maxValue="733.33866"/>
    </cacheField>
    <cacheField name="m² Bt PERM" numFmtId="0">
      <sharedItems containsString="0" containsBlank="1" containsNumber="1" minValue="0" maxValue="1821.8602484999999"/>
    </cacheField>
    <cacheField name="m² Bt GWP-total" numFmtId="0">
      <sharedItems containsString="0" containsBlank="1" containsNumber="1" minValue="-171.692267622" maxValue="230.43886624000001"/>
    </cacheField>
    <cacheField name="m² Bt GWP-fossil" numFmtId="0">
      <sharedItems containsString="0" containsBlank="1" containsNumber="1" minValue="0.16285514000000001" maxValue="230.43886624000001"/>
    </cacheField>
    <cacheField name="m² Bt GWP-biogenic" numFmtId="0">
      <sharedItems containsString="0" containsBlank="1" containsNumber="1" minValue="-184.705523118" maxValue="0"/>
    </cacheField>
    <cacheField name="m² Bt AP" numFmtId="0">
      <sharedItems containsString="0" containsBlank="1" containsNumber="1" minValue="6.0359172000000005E-4" maxValue="0.63690678000000001"/>
    </cacheField>
    <cacheField name="m² Bt EP" numFmtId="0">
      <sharedItems containsString="0" containsBlank="1" containsNumber="1" minValue="2.7267961000000001E-4" maxValue="0.37156747221000003"/>
    </cacheField>
    <cacheField name="m² Bt POCP" numFmtId="0">
      <sharedItems containsString="0" containsBlank="1" containsNumber="1" minValue="5.5086983000000003E-5" maxValue="0.17012459184000001"/>
    </cacheField>
    <cacheField name="m² Bt ODP" numFmtId="0">
      <sharedItems containsString="0" containsBlank="1" containsNumber="1" minValue="5.7531520800000003E-9" maxValue="7.1679990688207997E-6"/>
    </cacheField>
    <cacheField name="Delta-OI3" numFmtId="0">
      <sharedItems containsString="0" containsBlank="1" containsNumber="1" minValue="-13.1391761416" maxValue="195.70165323133"/>
    </cacheField>
    <cacheField name="OI-KON" numFmtId="0">
      <sharedItems containsString="0" containsBlank="1" containsNumber="1" minValue="-6.4169443893332998" maxValue="244.23418852482999"/>
    </cacheField>
    <cacheField name="Geb PENRT" numFmtId="0">
      <sharedItems containsString="0" containsBlank="1" containsNumber="1" minValue="0" maxValue="946.67496855859997"/>
    </cacheField>
    <cacheField name="Geb PENRE" numFmtId="0">
      <sharedItems containsString="0" containsBlank="1" containsNumber="1" minValue="0" maxValue="946.67496855859997"/>
    </cacheField>
    <cacheField name="Geb PENRM" numFmtId="0">
      <sharedItems containsString="0" containsBlank="1" containsNumber="1" minValue="0" maxValue="96.934165355310995"/>
    </cacheField>
    <cacheField name="Geb PERT" numFmtId="0">
      <sharedItems containsString="0" containsBlank="1" containsNumber="1" minValue="0" maxValue="1597.6905478275"/>
    </cacheField>
    <cacheField name="Geb PERE" numFmtId="0">
      <sharedItems containsString="0" containsBlank="1" containsNumber="1" minValue="0" maxValue="57.218665415502002"/>
    </cacheField>
    <cacheField name="Geb PERM" numFmtId="0">
      <sharedItems containsString="0" containsBlank="1" containsNumber="1" minValue="0" maxValue="1540.471882412"/>
    </cacheField>
    <cacheField name="Geb GWP-total" numFmtId="0">
      <sharedItems containsString="0" containsBlank="1" containsNumber="1" minValue="-29.388351144152999" maxValue="92.437939196884003"/>
    </cacheField>
    <cacheField name="Geb GWP-fossil" numFmtId="0">
      <sharedItems containsString="0" containsBlank="1" containsNumber="1" minValue="0" maxValue="92.437939196884003"/>
    </cacheField>
    <cacheField name="Geb GWP-biogenic" numFmtId="0">
      <sharedItems containsString="0" containsBlank="1" containsNumber="1" minValue="-75.479226536173002" maxValue="0"/>
    </cacheField>
    <cacheField name="Geb AP" numFmtId="0">
      <sharedItems containsString="0" containsBlank="1" containsNumber="1" minValue="0" maxValue="0.26032087312612001"/>
    </cacheField>
    <cacheField name="Geb EP" numFmtId="0">
      <sharedItems containsString="0" containsBlank="1" containsNumber="1" minValue="0" maxValue="0.14905007980692001"/>
    </cacheField>
    <cacheField name="Geb POCP" numFmtId="0">
      <sharedItems containsString="0" containsBlank="1" containsNumber="1" minValue="0" maxValue="9.3890339554743005E-2"/>
    </cacheField>
    <cacheField name="Geb ODP" numFmtId="0">
      <sharedItems containsString="0" containsBlank="1" containsNumber="1" minValue="0" maxValue="3.9821627482613001E-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m/>
    <x v="0"/>
    <m/>
    <n v="0.06"/>
    <m/>
    <m/>
    <m/>
    <m/>
    <m/>
    <m/>
    <x v="0"/>
    <x v="0"/>
    <n v="1"/>
    <n v="0.06"/>
    <n v="475"/>
    <n v="28.5"/>
    <m/>
    <n v="28.5"/>
    <n v="307946.04824999999"/>
    <n v="9.6840938015344005"/>
    <s v="m²"/>
    <s v="kg"/>
    <n v="30358"/>
    <s v="Bauteile aus dem Energieausweis"/>
    <n v="1"/>
    <n v="1"/>
    <s v="ja"/>
    <n v="0"/>
    <n v="50"/>
    <n v="50"/>
    <s v="Sekundärkonstruktion"/>
    <m/>
    <m/>
    <n v="1"/>
    <m/>
    <n v="1"/>
    <m/>
    <n v="0"/>
    <n v="100"/>
    <n v="0"/>
    <m/>
    <n v="7.3674311000000001"/>
    <n v="7.0057344636360002"/>
    <n v="0.36169663636400001"/>
    <n v="14.931191"/>
    <n v="0.53119099999999997"/>
    <n v="14.4"/>
    <n v="-0.42124977000000002"/>
    <n v="0.42520023000000001"/>
    <n v="-0.84645000000000004"/>
    <n v="2.1681996000000002E-3"/>
    <n v="8.9600653000000002E-4"/>
    <n v="7.5086816999999999E-4"/>
    <s v="3,6616E-8"/>
    <n v="0"/>
    <n v="0"/>
    <n v="6"/>
    <n v="209.97178635"/>
    <n v="199.66343221362999"/>
    <n v="10.308354136374"/>
    <n v="425.53894350000002"/>
    <n v="15.1389435"/>
    <n v="410.4"/>
    <n v="-12.005618445"/>
    <n v="12.118206555"/>
    <n v="-24.123825"/>
    <n v="6.17936886E-2"/>
    <n v="2.5536186105000001E-2"/>
    <n v="2.1399742845E-2"/>
    <s v="1,043556E-6"/>
    <n v="13.237281617500001"/>
    <n v="31.091887531666998"/>
    <n v="71.346893848741999"/>
    <n v="67.844189694492997"/>
    <n v="3.5027041542483999"/>
    <n v="144.59505421263"/>
    <n v="5.1441034705308004"/>
    <n v="139.45095074209999"/>
    <n v="-4.0794222865548004"/>
    <n v="4.117678911754"/>
    <n v="-8.1971011983088005"/>
    <n v="2.0997048306848998E-2"/>
    <n v="8.6770112833072996E-3"/>
    <n v="7.2714777908665E-3"/>
    <s v="3,5459277863698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n v="2142717907"/>
    <x v="1"/>
    <m/>
    <n v="0.24"/>
    <m/>
    <m/>
    <m/>
    <m/>
    <m/>
    <m/>
    <x v="0"/>
    <x v="0"/>
    <n v="0.8"/>
    <n v="0.192"/>
    <n v="40"/>
    <n v="7.68"/>
    <m/>
    <n v="7.68"/>
    <n v="82983.356159999996"/>
    <n v="2.6096084349397999"/>
    <s v="m²"/>
    <s v="kg"/>
    <n v="30358"/>
    <s v="Bauteile aus dem Energieausweis"/>
    <n v="2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163.914816"/>
    <n v="163.914816"/>
    <n v="0"/>
    <n v="6.0264774144000004"/>
    <n v="6.0264774144000004"/>
    <n v="0"/>
    <n v="13.370350847999999"/>
    <n v="13.370350847999999"/>
    <n v="0"/>
    <n v="9.0695616000000007E-2"/>
    <n v="2.3885532671999998E-2"/>
    <n v="3.8885620991999999E-2"/>
    <s v="5,384448E-7"/>
    <n v="19.784967808000001"/>
    <n v="31.091887531666998"/>
    <n v="55.697068547553002"/>
    <n v="55.697068547553002"/>
    <n v="0"/>
    <n v="2.0477534236447998"/>
    <n v="2.0477534236447998"/>
    <n v="0"/>
    <n v="4.5431484832090003"/>
    <n v="4.5431484832090003"/>
    <n v="0"/>
    <n v="3.0817714130945001E-2"/>
    <n v="8.1161311893074E-3"/>
    <n v="1.3213052674296E-2"/>
    <s v="1,8295964737363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n v="2142718934"/>
    <x v="2"/>
    <m/>
    <n v="0.24"/>
    <m/>
    <m/>
    <m/>
    <m/>
    <m/>
    <m/>
    <x v="0"/>
    <x v="0"/>
    <n v="0.2"/>
    <n v="4.8000000000000001E-2"/>
    <n v="475"/>
    <n v="22.8"/>
    <m/>
    <n v="22.8"/>
    <n v="246356.83859999999"/>
    <n v="7.7472750412274998"/>
    <s v="m²"/>
    <s v="kg"/>
    <n v="30358"/>
    <s v="Bauteile aus dem Energieausweis"/>
    <n v="2"/>
    <n v="2"/>
    <s v="ja"/>
    <n v="0"/>
    <n v="5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s v="1,814E-8"/>
    <n v="0"/>
    <n v="0"/>
    <n v="6"/>
    <n v="81.805734240000007"/>
    <n v="81.805734240000007"/>
    <n v="0"/>
    <n v="463.38234360000001"/>
    <n v="70.310343599999996"/>
    <n v="393.072"/>
    <n v="-15.920181396"/>
    <n v="4.7958986039999996"/>
    <n v="-20.716080000000002"/>
    <n v="2.9245557719999999E-2"/>
    <n v="1.3290657851999999E-2"/>
    <n v="1.1592250512E-2"/>
    <s v="4,13592E-7"/>
    <n v="3.9729019380000001"/>
    <n v="31.091887531666998"/>
    <n v="27.796996627493002"/>
    <n v="27.796996627493002"/>
    <n v="0"/>
    <n v="157.45396776832001"/>
    <n v="23.890946057562001"/>
    <n v="133.56302171076001"/>
    <n v="-5.4095624553089996"/>
    <n v="1.6296116471502999"/>
    <n v="-7.0391741024592998"/>
    <n v="9.937428920655E-3"/>
    <n v="4.5160693797496997E-3"/>
    <n v="3.9389628536524003E-3"/>
    <s v="1,4053556924787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m/>
    <x v="3"/>
    <m/>
    <n v="1.4999999999999999E-2"/>
    <m/>
    <m/>
    <m/>
    <m/>
    <m/>
    <m/>
    <x v="0"/>
    <x v="0"/>
    <n v="1"/>
    <n v="1.4999999999999999E-2"/>
    <n v="1200"/>
    <n v="18"/>
    <m/>
    <n v="18"/>
    <n v="194492.24100000001"/>
    <n v="6.1162697693901"/>
    <s v="m²"/>
    <s v="kg"/>
    <n v="30358"/>
    <s v="Bauteile aus dem Energieausweis"/>
    <n v="3"/>
    <n v="1"/>
    <s v="ja"/>
    <n v="0"/>
    <n v="50"/>
    <n v="50"/>
    <s v="Sekundärkonstruktion"/>
    <m/>
    <m/>
    <n v="3"/>
    <m/>
    <n v="4"/>
    <m/>
    <n v="50"/>
    <n v="50"/>
    <n v="0"/>
    <m/>
    <n v="5.0350267999999998"/>
    <n v="4.2850267999999998"/>
    <n v="0.75"/>
    <n v="2.6372589999999998"/>
    <n v="0.150259"/>
    <n v="2.4870000000000001"/>
    <n v="0.48134774000000002"/>
    <n v="0.62104773999999996"/>
    <n v="-0.13969999999999999"/>
    <n v="1.1368352E-3"/>
    <n v="2.9767676000000003E-4"/>
    <n v="1.4392046E-4"/>
    <s v="2,4725E-8"/>
    <n v="0"/>
    <n v="0"/>
    <n v="6"/>
    <n v="90.630482400000005"/>
    <n v="77.130482400000005"/>
    <n v="13.5"/>
    <n v="47.470661999999997"/>
    <n v="2.7046619999999999"/>
    <n v="44.765999999999998"/>
    <n v="8.6642593199999993"/>
    <n v="11.178859320000001"/>
    <n v="-2.5146000000000002"/>
    <n v="2.04630336E-2"/>
    <n v="5.3581816799999999E-3"/>
    <n v="2.5905682799999999E-3"/>
    <s v="4,4505E-7"/>
    <n v="7.1934637800000001"/>
    <n v="31.091887531666998"/>
    <n v="30.795582204909"/>
    <n v="26.208379877866999"/>
    <n v="4.5872023270425997"/>
    <n v="16.130187495752001"/>
    <n v="0.91902457927879"/>
    <n v="15.211162916473"/>
    <n v="2.9440526307263002"/>
    <n v="3.7984955175101001"/>
    <n v="-0.85444288678379998"/>
    <n v="6.9531907665385997E-3"/>
    <n v="1.820671368238E-3"/>
    <n v="8.8025635869472003E-4"/>
    <s v="1,5122477004817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n v="2142718766"/>
    <x v="4"/>
    <m/>
    <n v="1E-3"/>
    <m/>
    <m/>
    <m/>
    <m/>
    <m/>
    <m/>
    <x v="0"/>
    <x v="0"/>
    <n v="1"/>
    <n v="1E-3"/>
    <n v="300"/>
    <n v="0.3"/>
    <m/>
    <n v="0.3"/>
    <n v="3241.5373500000001"/>
    <n v="0.10193782948984"/>
    <s v="m²"/>
    <s v="kg"/>
    <n v="30358"/>
    <s v="Bauteile aus dem Energieausweis"/>
    <n v="4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31.091887531666998"/>
    <n v="17.530942326234999"/>
    <n v="8.8723430893679005"/>
    <n v="8.6585992368665998"/>
    <n v="0.26550256116150001"/>
    <n v="0.26550256116150001"/>
    <n v="0"/>
    <n v="0.58177803100937997"/>
    <n v="0.58391872542866996"/>
    <n v="-2.1406944192864999E-3"/>
    <n v="1.6966123773468E-3"/>
    <n v="3.2751823383743998E-4"/>
    <n v="5.0531454665932E-4"/>
    <s v="7,974978463974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m/>
    <x v="5"/>
    <m/>
    <n v="0.05"/>
    <m/>
    <m/>
    <m/>
    <m/>
    <m/>
    <m/>
    <x v="0"/>
    <x v="0"/>
    <n v="1"/>
    <n v="0.05"/>
    <n v="475"/>
    <n v="23.75"/>
    <m/>
    <n v="23.75"/>
    <n v="256621.706875"/>
    <n v="8.0700781679453009"/>
    <s v="m²"/>
    <s v="kg"/>
    <n v="30358"/>
    <s v="Bauteile aus dem Energieausweis"/>
    <n v="5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0"/>
    <n v="0"/>
    <n v="6"/>
    <n v="218.551843875"/>
    <n v="209.67836887499999"/>
    <n v="8.8734749999999991"/>
    <n v="420.00001125"/>
    <n v="15.041611250000001"/>
    <n v="404.95839999999998"/>
    <n v="-7.7255935625000003"/>
    <n v="12.1163439375"/>
    <n v="-19.8419375"/>
    <n v="6.8433007749999997E-2"/>
    <n v="3.2785685124999998E-2"/>
    <n v="2.468184075E-2"/>
    <s v="1,04682875E-6"/>
    <n v="15.121863568749999"/>
    <n v="31.091887531666998"/>
    <n v="74.262335318729995"/>
    <n v="71.247192713621999"/>
    <n v="3.0151426051076999"/>
    <n v="142.71296510843999"/>
    <n v="5.1110306761829998"/>
    <n v="137.60193443226001"/>
    <n v="-2.6251007976062999"/>
    <n v="4.1170460078035997"/>
    <n v="-6.7421468054098996"/>
    <n v="2.3253040918319999E-2"/>
    <n v="1.1140338599932E-2"/>
    <n v="8.3867109128958998E-3"/>
    <s v="3,5570483540853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4743"/>
    <x v="0"/>
    <n v="102"/>
    <s v="opake Bauteile"/>
    <s v="nein"/>
    <n v="10805.1245"/>
    <m/>
    <n v="2142704948"/>
    <x v="6"/>
    <m/>
    <n v="1.9E-2"/>
    <m/>
    <m/>
    <m/>
    <m/>
    <m/>
    <m/>
    <x v="0"/>
    <x v="0"/>
    <n v="1"/>
    <n v="1.9E-2"/>
    <n v="450"/>
    <n v="8.5500000000000007"/>
    <m/>
    <n v="8.5500000000000007"/>
    <n v="92383.814475000006"/>
    <n v="2.9052281404603"/>
    <s v="m²"/>
    <s v="kg"/>
    <n v="30358"/>
    <s v="Bauteile aus dem Energieausweis"/>
    <n v="6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0"/>
    <n v="0"/>
    <n v="6"/>
    <n v="78.678663795000006"/>
    <n v="75.484212795000005"/>
    <n v="3.1944509999999999"/>
    <n v="151.20000404999999"/>
    <n v="5.4149800499999996"/>
    <n v="145.78502399999999"/>
    <n v="-2.7812136824999998"/>
    <n v="4.3618838174999999"/>
    <n v="-7.1430974999999997"/>
    <n v="2.4635882790000001E-2"/>
    <n v="1.1802846645E-2"/>
    <n v="8.8854626700000001E-3"/>
    <s v="3,7685835E-7"/>
    <n v="5.4438708847499999"/>
    <n v="31.091887531666998"/>
    <n v="26.734440714742998"/>
    <n v="25.648989376904002"/>
    <n v="1.0854513378388"/>
    <n v="51.376667439038002"/>
    <n v="1.8399710434259"/>
    <n v="49.536696395611997"/>
    <n v="-0.94503628713828003"/>
    <n v="1.4821365628093"/>
    <n v="-2.4271728499476"/>
    <n v="8.3710947305953003E-3"/>
    <n v="4.0105218959755997E-3"/>
    <n v="3.0192159286425001E-3"/>
    <s v="1,2805374074707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n v="2142685464"/>
    <x v="7"/>
    <m/>
    <n v="2E-3"/>
    <m/>
    <m/>
    <m/>
    <m/>
    <m/>
    <m/>
    <x v="0"/>
    <x v="0"/>
    <n v="1"/>
    <n v="2E-3"/>
    <n v="1300"/>
    <n v="2.6"/>
    <m/>
    <n v="2.6"/>
    <n v="646.73725999999999"/>
    <n v="2.0338186920661E-2"/>
    <s v="m²"/>
    <s v="kg"/>
    <n v="30358"/>
    <s v="Bauteile aus dem Energieausweis"/>
    <n v="1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99.362058679499995"/>
    <n v="8.4739035466745993E-2"/>
    <n v="8.4739035466745993E-2"/>
    <n v="0"/>
    <n v="1.3197778564681E-2"/>
    <n v="1.3197778564681E-2"/>
    <n v="0"/>
    <n v="7.1709697359378004E-3"/>
    <n v="7.2116461097792E-3"/>
    <n v="-4.0676373841322002E-5"/>
    <s v="2,0066535859418E-5"/>
    <s v="8,2921676098077E-6"/>
    <s v="2,6161280333932E-6"/>
    <s v="6,0685025186944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m/>
    <x v="8"/>
    <m/>
    <n v="1E-3"/>
    <m/>
    <m/>
    <m/>
    <m/>
    <m/>
    <m/>
    <x v="0"/>
    <x v="0"/>
    <n v="1"/>
    <n v="1E-3"/>
    <n v="1000"/>
    <n v="1"/>
    <m/>
    <n v="1"/>
    <n v="248.74510000000001"/>
    <n v="7.8223795848694992E-3"/>
    <s v="m²"/>
    <s v="kg"/>
    <n v="30358"/>
    <s v="Bauteile aus dem Energieausweis"/>
    <n v="2"/>
    <n v="1"/>
    <s v="ja"/>
    <n v="0"/>
    <n v="5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.20903325266667"/>
    <n v="99.362058679499995"/>
    <n v="2.3994015131546999E-2"/>
    <n v="2.3994015131546999E-2"/>
    <n v="0"/>
    <n v="1.5135436212589E-3"/>
    <n v="1.5135436212589E-3"/>
    <n v="0"/>
    <n v="1.2348028245027E-3"/>
    <n v="1.2739147224271E-3"/>
    <n v="-3.9111897924348E-5"/>
    <s v="4,7215235481243E-6"/>
    <s v="2,1330034144742E-6"/>
    <s v="4,3091129121126E-7"/>
    <s v="1,3190130092239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m/>
    <x v="9"/>
    <m/>
    <n v="0.2"/>
    <m/>
    <m/>
    <m/>
    <m/>
    <m/>
    <m/>
    <x v="0"/>
    <x v="0"/>
    <n v="1"/>
    <n v="0.2"/>
    <n v="2325"/>
    <n v="465"/>
    <m/>
    <n v="465"/>
    <n v="115666.4715"/>
    <n v="3.6374065069642998"/>
    <s v="m²"/>
    <s v="kg"/>
    <n v="30358"/>
    <s v="Bauteile aus dem Energieausweis"/>
    <n v="3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s v="2,098579968E-6"/>
    <n v="60.385712509999998"/>
    <n v="99.362058679499995"/>
    <n v="5.6961964131979999"/>
    <n v="5.6961964131979999"/>
    <n v="0"/>
    <n v="0.17268936946578001"/>
    <n v="0.17268936946578001"/>
    <n v="0"/>
    <n v="0.55620426776301002"/>
    <n v="0.55620426776301002"/>
    <n v="0"/>
    <n v="1.4233952976669001E-3"/>
    <n v="8.9684269488582999E-4"/>
    <n v="2.8077397264415999E-4"/>
    <s v="1,6415889098899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n v="2142730648"/>
    <x v="10"/>
    <m/>
    <n v="0.18"/>
    <m/>
    <m/>
    <m/>
    <m/>
    <m/>
    <m/>
    <x v="0"/>
    <x v="0"/>
    <n v="1"/>
    <n v="0.18"/>
    <n v="110"/>
    <n v="19.8"/>
    <m/>
    <n v="19.8"/>
    <n v="4925.1529799999998"/>
    <n v="0.15488311578041999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422.59288500000002"/>
    <n v="422.59288500000002"/>
    <n v="0"/>
    <n v="15.537012084000001"/>
    <n v="15.537012084000001"/>
    <n v="0"/>
    <n v="34.470435780000003"/>
    <n v="34.470435780000003"/>
    <n v="0"/>
    <n v="0.233824635"/>
    <n v="6.1579888919999999E-2"/>
    <n v="0.10025199161999999"/>
    <s v="1,388178E-6"/>
    <n v="51.008120130000002"/>
    <n v="99.362058679499995"/>
    <n v="3.3056819563350999"/>
    <n v="3.3056819563350999"/>
    <n v="0"/>
    <n v="0.12153640613574999"/>
    <n v="0.12153640613574999"/>
    <n v="0"/>
    <n v="0.26964083312703002"/>
    <n v="0.26964083312703002"/>
    <n v="0"/>
    <n v="1.8290650512636001E-3"/>
    <n v="4.8170126592633999E-4"/>
    <n v="7.8420913259080001E-4"/>
    <s v="1,0858855247365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n v="2142718766"/>
    <x v="4"/>
    <m/>
    <n v="1E-3"/>
    <m/>
    <m/>
    <m/>
    <m/>
    <m/>
    <m/>
    <x v="0"/>
    <x v="0"/>
    <n v="1"/>
    <n v="1E-3"/>
    <n v="300"/>
    <n v="0.3"/>
    <m/>
    <n v="0.3"/>
    <n v="74.623530000000002"/>
    <n v="2.3467138754608998E-3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99.362058679499995"/>
    <n v="0.40358035689763999"/>
    <n v="0.20425048031599999"/>
    <n v="0.19932987658165"/>
    <n v="6.1121425418443004E-3"/>
    <n v="6.1121425418443004E-3"/>
    <n v="0"/>
    <n v="1.3393129759979E-2"/>
    <n v="1.3442410751364001E-2"/>
    <n v="-4.9280991384678E-5"/>
    <s v="3,9057765180249E-5"/>
    <s v="7,5398072301451E-6"/>
    <s v="1,1632861559367E-5"/>
    <s v="1,8359222196091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m/>
    <x v="5"/>
    <m/>
    <n v="0.05"/>
    <m/>
    <m/>
    <m/>
    <m/>
    <m/>
    <m/>
    <x v="0"/>
    <x v="0"/>
    <n v="1"/>
    <n v="0.05"/>
    <n v="475"/>
    <n v="23.75"/>
    <m/>
    <n v="23.75"/>
    <n v="5907.6961250000004"/>
    <n v="0.18578151514065"/>
    <s v="m²"/>
    <s v="kg"/>
    <n v="30358"/>
    <s v="Bauteile aus dem Energieausweis"/>
    <n v="6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0"/>
    <n v="0"/>
    <n v="6"/>
    <n v="218.551843875"/>
    <n v="209.67836887499999"/>
    <n v="8.8734749999999991"/>
    <n v="420.00001125"/>
    <n v="15.041611250000001"/>
    <n v="404.95839999999998"/>
    <n v="-7.7255935625000003"/>
    <n v="12.1163439375"/>
    <n v="-19.8419375"/>
    <n v="6.8433007749999997E-2"/>
    <n v="3.2785685124999998E-2"/>
    <n v="2.468184075E-2"/>
    <s v="1,04682875E-6"/>
    <n v="15.121863568749999"/>
    <n v="99.362058679499995"/>
    <n v="1.7095954817634"/>
    <n v="1.6401837920764999"/>
    <n v="6.9411689686850006E-2"/>
    <n v="3.285399513647"/>
    <n v="0.11766119276554"/>
    <n v="3.1677383208814001"/>
    <n v="-6.0432525364300001E-2"/>
    <n v="9.4778641459957999E-2"/>
    <n v="-0.15521116682426001"/>
    <n v="5.3530896275481995E-4"/>
    <n v="2.5646207399776001E-4"/>
    <n v="1.9307072719979999E-4"/>
    <s v="8,1886918428545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1"/>
    <x v="1"/>
    <n v="102"/>
    <s v="opake Bauteile"/>
    <s v="nein"/>
    <n v="248.74510000000001"/>
    <m/>
    <n v="2142704948"/>
    <x v="6"/>
    <m/>
    <n v="1.9E-2"/>
    <m/>
    <m/>
    <m/>
    <m/>
    <m/>
    <m/>
    <x v="0"/>
    <x v="0"/>
    <n v="1"/>
    <n v="1.9E-2"/>
    <n v="450"/>
    <n v="8.5500000000000007"/>
    <m/>
    <n v="8.5500000000000007"/>
    <n v="2126.7706050000002"/>
    <n v="6.6881345450634996E-2"/>
    <s v="m²"/>
    <s v="kg"/>
    <n v="30358"/>
    <s v="Bauteile aus dem Energieausweis"/>
    <n v="7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0"/>
    <n v="0"/>
    <n v="6"/>
    <n v="78.678663795000006"/>
    <n v="75.484212795000005"/>
    <n v="3.1944509999999999"/>
    <n v="151.20000404999999"/>
    <n v="5.4149800499999996"/>
    <n v="145.78502399999999"/>
    <n v="-2.7812136824999998"/>
    <n v="4.3618838174999999"/>
    <n v="-7.1430974999999997"/>
    <n v="2.4635882790000001E-2"/>
    <n v="1.1802846645E-2"/>
    <n v="8.8854626700000001E-3"/>
    <s v="3,7685835E-7"/>
    <n v="5.4438708847499999"/>
    <n v="99.362058679499995"/>
    <n v="0.61545437343482001"/>
    <n v="0.59046616514756001"/>
    <n v="2.4988208287266001E-2"/>
    <n v="1.1827438249129001"/>
    <n v="4.2358029395595999E-2"/>
    <n v="1.1403857955173"/>
    <n v="-2.1755709131148E-2"/>
    <n v="3.4120310925584998E-2"/>
    <n v="-5.5876020056732999E-2"/>
    <n v="1.9271122659173E-4"/>
    <s v="9,2326346639194E-5"/>
    <s v="6,9505461791928E-5"/>
    <s v="2,947929063427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685464"/>
    <x v="7"/>
    <m/>
    <n v="2E-3"/>
    <m/>
    <m/>
    <m/>
    <m/>
    <m/>
    <m/>
    <x v="0"/>
    <x v="0"/>
    <n v="1"/>
    <n v="2E-3"/>
    <n v="1300"/>
    <n v="2.6"/>
    <m/>
    <n v="2.6"/>
    <n v="5627.0100899999998"/>
    <n v="0.17695467710467999"/>
    <s v="m²"/>
    <s v="kg"/>
    <n v="30358"/>
    <s v="Bauteile aus dem Energieausweis"/>
    <n v="1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91.142185072467001"/>
    <n v="0.73728148520196002"/>
    <n v="0.73728148520196002"/>
    <n v="0"/>
    <n v="0.1148287530999"/>
    <n v="0.1148287530999"/>
    <n v="0"/>
    <n v="6.2391826719874997E-2"/>
    <n v="6.2745736074083999E-2"/>
    <n v="-3.5390935420935999E-4"/>
    <n v="1.7459114656899E-4"/>
    <s v="7,2146934611992E-5"/>
    <s v="2,2761915465695E-5"/>
    <s v="5,279968700718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m/>
    <x v="8"/>
    <m/>
    <n v="2E-3"/>
    <m/>
    <m/>
    <m/>
    <m/>
    <m/>
    <m/>
    <x v="0"/>
    <x v="0"/>
    <n v="1"/>
    <n v="2E-3"/>
    <n v="1000"/>
    <n v="2"/>
    <m/>
    <n v="2"/>
    <n v="4328.4692999999997"/>
    <n v="0.13611898238820999"/>
    <s v="m²"/>
    <s v="kg"/>
    <n v="30358"/>
    <s v="Bauteile aus dem Energieausweis"/>
    <n v="2"/>
    <n v="1"/>
    <s v="ja"/>
    <n v="0"/>
    <n v="5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"/>
    <n v="0"/>
    <n v="6"/>
    <n v="6.1347100000000001"/>
    <n v="6.1347100000000001"/>
    <n v="0"/>
    <n v="0.38697779999999998"/>
    <n v="0.38697779999999998"/>
    <n v="0"/>
    <n v="0.31571028000000001"/>
    <n v="0.32571028000000002"/>
    <n v="-0.01"/>
    <n v="1.2071834400000001E-3"/>
    <n v="5.4535922000000002E-4"/>
    <n v="1.1017396600000001E-4"/>
    <s v="3,3724086E-8"/>
    <n v="0.41806650533333001"/>
    <n v="91.142185072467001"/>
    <n v="0.41752524122340001"/>
    <n v="0.41752524122340001"/>
    <n v="0"/>
    <n v="2.6337512171415001E-2"/>
    <n v="2.6337512171415001E-2"/>
    <n v="0"/>
    <n v="2.1487081021549E-2"/>
    <n v="2.2167675933489998E-2"/>
    <n v="-6.8059491194107005E-4"/>
    <s v="8,2160290704352E-5"/>
    <s v="3,7116871031215E-5"/>
    <s v="7,4983840687968E-6"/>
    <s v="2,2952441341463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0458"/>
    <x v="11"/>
    <m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s v="Bauteile aus dem Energieausweis"/>
    <n v="3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s v="4,95873354781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7907"/>
    <x v="1"/>
    <m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s v="2,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s v="1,832313956205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8934"/>
    <x v="2"/>
    <m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s v="Bauteile aus dem Energieausweis"/>
    <n v="4"/>
    <n v="2"/>
    <s v="ja"/>
    <n v="0"/>
    <n v="5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s v="1,814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s v="2,06796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s v="1,407443054097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0458"/>
    <x v="11"/>
    <m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s v="Bauteile aus dem Energieausweis"/>
    <n v="5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s v="4,95873354781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0458"/>
    <x v="11"/>
    <m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s v="Bauteile aus dem Energieausweis"/>
    <n v="6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s v="4,95873354781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7907"/>
    <x v="1"/>
    <m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s v="Bauteile aus dem Energieausweis"/>
    <n v="7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s v="2,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s v="1,832313956205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8934"/>
    <x v="2"/>
    <m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s v="Bauteile aus dem Energieausweis"/>
    <n v="7"/>
    <n v="2"/>
    <s v="ja"/>
    <n v="0"/>
    <n v="5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s v="1,814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s v="2,06796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s v="1,407443054097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0458"/>
    <x v="11"/>
    <m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s v="Bauteile aus dem Energieausweis"/>
    <n v="8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s v="4,95873354781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7907"/>
    <x v="1"/>
    <m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s v="Bauteile aus dem Energieausweis"/>
    <n v="9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s v="2,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s v="1,832313956205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8934"/>
    <x v="2"/>
    <m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s v="Bauteile aus dem Energieausweis"/>
    <n v="9"/>
    <n v="2"/>
    <s v="ja"/>
    <n v="0"/>
    <n v="5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s v="1,814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s v="2,06796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s v="1,407443054097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8766"/>
    <x v="4"/>
    <m/>
    <n v="1E-3"/>
    <m/>
    <m/>
    <m/>
    <m/>
    <m/>
    <m/>
    <x v="0"/>
    <x v="0"/>
    <n v="1"/>
    <n v="1E-3"/>
    <n v="300"/>
    <n v="0.3"/>
    <m/>
    <n v="0.3"/>
    <n v="649.27039500000001"/>
    <n v="2.0417847358231999E-2"/>
    <s v="m²"/>
    <s v="kg"/>
    <n v="30358"/>
    <s v="Bauteile aus dem Energieausweis"/>
    <n v="10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91.142185072467001"/>
    <n v="3.5113961740642998"/>
    <n v="1.7771042194561"/>
    <n v="1.7342919546082001"/>
    <n v="5.3179381924702999E-2"/>
    <n v="5.3179381924702999E-2"/>
    <n v="0"/>
    <n v="0.11652842809162001"/>
    <n v="0.11695720288615"/>
    <n v="-4.2877479452287001E-4"/>
    <n v="3.3982646795718997E-4"/>
    <s v="6,5600938719197E-5"/>
    <n v="1.0121301712249E-4"/>
    <s v="1,597364724926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38743"/>
    <x v="12"/>
    <m/>
    <n v="1.8E-3"/>
    <m/>
    <m/>
    <m/>
    <m/>
    <m/>
    <m/>
    <x v="0"/>
    <x v="0"/>
    <n v="1"/>
    <n v="1.8E-3"/>
    <n v="2800"/>
    <n v="5.04"/>
    <m/>
    <n v="5.04"/>
    <n v="10907.742636000001"/>
    <n v="0.34301983561830002"/>
    <s v="m²"/>
    <s v="kg"/>
    <n v="30358"/>
    <s v="Bauteile aus dem Energieausweis"/>
    <n v="11"/>
    <n v="1"/>
    <s v="ja"/>
    <n v="0"/>
    <n v="50"/>
    <n v="50"/>
    <s v="Sekundärkonstruktion"/>
    <m/>
    <m/>
    <n v="1"/>
    <m/>
    <n v="1"/>
    <m/>
    <n v="0"/>
    <n v="0"/>
    <n v="100"/>
    <m/>
    <n v="114.04756"/>
    <n v="114.04756"/>
    <n v="0"/>
    <n v="24.230383"/>
    <n v="24.230383"/>
    <n v="0"/>
    <n v="9.1452820999999993"/>
    <n v="9.1542820999999996"/>
    <n v="-8.9999999999999993E-3"/>
    <n v="4.1693915999999998E-2"/>
    <n v="1.5729371999999998E-2"/>
    <n v="4.5273911E-3"/>
    <s v="5,7695944E-7"/>
    <n v="0"/>
    <n v="0"/>
    <n v="6"/>
    <n v="574.7997024"/>
    <n v="574.7997024"/>
    <n v="0"/>
    <n v="122.12113032000001"/>
    <n v="122.12113032000001"/>
    <n v="0"/>
    <n v="46.092221784000003"/>
    <n v="46.137581783999998"/>
    <n v="-4.5359999999999998E-2"/>
    <n v="0.21013733664000001"/>
    <n v="7.9276034879999999E-2"/>
    <n v="2.2818051143999998E-2"/>
    <s v="2,9078755776E-6"/>
    <n v="54.860338595999998"/>
    <n v="91.142185072467001"/>
    <n v="39.120575283868"/>
    <n v="39.120575283868"/>
    <n v="0"/>
    <n v="8.3115019936284007"/>
    <n v="8.3115019936284007"/>
    <n v="0"/>
    <n v="3.1370131626250002"/>
    <n v="3.1401003411455002"/>
    <n v="-3.0871785205647002E-3"/>
    <n v="1.4301840212602999E-2"/>
    <n v="5.3954865978191003E-3"/>
    <n v="1.5529849509018001E-3"/>
    <s v="1,9790853226723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5"/>
    <x v="2"/>
    <n v="102"/>
    <s v="opake Bauteile"/>
    <s v="nein"/>
    <n v="2164.2346499999999"/>
    <m/>
    <n v="2142717929"/>
    <x v="13"/>
    <m/>
    <n v="8.9999999999999993E-3"/>
    <m/>
    <m/>
    <m/>
    <m/>
    <m/>
    <m/>
    <x v="0"/>
    <x v="0"/>
    <n v="1"/>
    <n v="8.9999999999999993E-3"/>
    <n v="38"/>
    <n v="0.34200000000000003"/>
    <m/>
    <n v="0.34200000000000003"/>
    <n v="740.16825029999995"/>
    <n v="2.3276345988384999E-2"/>
    <s v="m²"/>
    <s v="kg"/>
    <n v="30358"/>
    <s v="Bauteile aus dem Energieausweis"/>
    <n v="12"/>
    <n v="1"/>
    <s v="ja"/>
    <n v="0"/>
    <n v="50"/>
    <n v="50"/>
    <s v="Sekundärkonstruktion"/>
    <m/>
    <m/>
    <n v="5"/>
    <m/>
    <n v="4"/>
    <m/>
    <n v="0"/>
    <n v="100"/>
    <n v="0"/>
    <m/>
    <n v="131.42972"/>
    <n v="109.82971999999999"/>
    <n v="21.6"/>
    <n v="2.2548433000000001"/>
    <n v="2.2548433000000001"/>
    <n v="0"/>
    <n v="5.0115335999999999"/>
    <n v="5.0115335999999999"/>
    <n v="0"/>
    <n v="1.7419766E-2"/>
    <n v="6.9117468000000001E-3"/>
    <n v="1.1384409999999999E-2"/>
    <s v="2,142775E-7"/>
    <n v="0"/>
    <n v="0"/>
    <n v="6"/>
    <n v="44.948964240000002"/>
    <n v="37.561764240000002"/>
    <n v="7.3872"/>
    <n v="0.77115640860000001"/>
    <n v="0.77115640860000001"/>
    <n v="0"/>
    <n v="1.7139444911999999"/>
    <n v="1.7139444911999999"/>
    <n v="0"/>
    <n v="5.9575599719999999E-3"/>
    <n v="2.3638174056E-3"/>
    <n v="3.8934682200000002E-3"/>
    <s v="7,3282905E-8"/>
    <n v="2.5782975528000001"/>
    <n v="91.142185072467001"/>
    <n v="3.0592036358765"/>
    <n v="2.5564345625274001"/>
    <n v="0.50276907334911003"/>
    <n v="5.2484512800391001E-2"/>
    <n v="5.2484512800391001E-2"/>
    <n v="0"/>
    <n v="0.11665019000601"/>
    <n v="0.11665019000601"/>
    <n v="0"/>
    <n v="4.0546850045269998E-4"/>
    <n v="1.6088020990091001E-4"/>
    <n v="2.6498746603362998E-4"/>
    <s v="4,9875972275261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m/>
    <x v="8"/>
    <m/>
    <n v="1E-3"/>
    <m/>
    <m/>
    <m/>
    <m/>
    <m/>
    <m/>
    <x v="0"/>
    <x v="0"/>
    <n v="1"/>
    <n v="1E-3"/>
    <n v="1000"/>
    <n v="1"/>
    <m/>
    <n v="1"/>
    <n v="144.06360000000001"/>
    <n v="4.5304215583053002E-3"/>
    <s v="m²"/>
    <s v="kg"/>
    <n v="30358"/>
    <s v="Bauteile aus dem Energieausweis"/>
    <n v="1"/>
    <n v="1"/>
    <s v="ja"/>
    <n v="0"/>
    <n v="5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.20903325266667"/>
    <n v="5.1178605076099997"/>
    <n v="1.3896411218976E-2"/>
    <n v="1.3896411218976E-2"/>
    <n v="0"/>
    <n v="8.7658628385277998E-4"/>
    <n v="8.7658628385277998E-4"/>
    <n v="0"/>
    <n v="7.1515032934529996E-4"/>
    <n v="7.3780243713682996E-4"/>
    <n v="-2.2652107791526999E-5"/>
    <s v="2,7345249407026E-6"/>
    <s v="1,2353535836543E-6"/>
    <s v="2,495672553652E-7"/>
    <s v="7,6392163124271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04379"/>
    <x v="14"/>
    <m/>
    <n v="1.2500000000000001E-2"/>
    <m/>
    <m/>
    <m/>
    <m/>
    <m/>
    <m/>
    <x v="0"/>
    <x v="0"/>
    <n v="1"/>
    <n v="1.2500000000000001E-2"/>
    <n v="1150"/>
    <n v="14.375"/>
    <m/>
    <n v="14.375"/>
    <n v="2070.9142499999998"/>
    <n v="6.5124809900639E-2"/>
    <s v="m²"/>
    <s v="kg"/>
    <n v="30358"/>
    <s v="Bauteile aus dem Energieausweis"/>
    <n v="2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77.641042499999998"/>
    <n v="77.641042499999998"/>
    <n v="0"/>
    <n v="46.456742624999997"/>
    <n v="46.456742624999997"/>
    <n v="0"/>
    <n v="1.21444528125"/>
    <n v="5.4119452812500004"/>
    <n v="-4.1974999999999998"/>
    <n v="2.2503605374999999E-2"/>
    <n v="6.9753718625000004E-3"/>
    <n v="1.9020863437499999E-3"/>
    <s v="5,54151003125E-7"/>
    <n v="5.7909230135416996"/>
    <n v="5.1178605076099997"/>
    <n v="0.35174665275130002"/>
    <n v="0.35174665275130002"/>
    <n v="0"/>
    <n v="0.21046862831693999"/>
    <n v="0.21046862831693999"/>
    <n v="0"/>
    <n v="5.5019490835572001E-3"/>
    <n v="2.4518393574543999E-2"/>
    <n v="-1.9016444490987001E-2"/>
    <n v="1.019508189305E-4"/>
    <s v="3,1601375063066E-5"/>
    <s v="8,6172529774831E-6"/>
    <s v="2,51053765111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686781"/>
    <x v="15"/>
    <m/>
    <n v="2.9999999999999997E-4"/>
    <m/>
    <m/>
    <m/>
    <m/>
    <m/>
    <m/>
    <x v="0"/>
    <x v="0"/>
    <n v="1"/>
    <n v="2.9999999999999997E-4"/>
    <n v="300"/>
    <n v="0.09"/>
    <m/>
    <n v="0.09"/>
    <n v="12.965724"/>
    <n v="4.0773794024748E-4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15.47791254"/>
    <n v="7.8333125399999997"/>
    <n v="7.6445999999999996"/>
    <n v="0.23440984200000001"/>
    <n v="0.23440984200000001"/>
    <n v="0"/>
    <n v="0.51364663200000005"/>
    <n v="0.51553663199999999"/>
    <n v="-1.89E-3"/>
    <n v="1.4979239279999999E-3"/>
    <n v="2.8916292600000002E-4"/>
    <n v="4.4613770399999999E-4"/>
    <s v="7,04103732E-9"/>
    <n v="0.80126138039999995"/>
    <n v="5.1178605076099997"/>
    <n v="7.0121468648779994E-2"/>
    <n v="3.5488208004159E-2"/>
    <n v="3.4633260644621001E-2"/>
    <n v="1.0619754016757E-3"/>
    <n v="1.0619754016757E-3"/>
    <n v="0"/>
    <n v="2.3270357749636999E-3"/>
    <n v="2.3355982717089001E-3"/>
    <n v="-8.5624967451970005E-6"/>
    <s v="6,7862268561126E-6"/>
    <s v="1,310029953813E-6"/>
    <s v="2,0211918721744E-6"/>
    <s v="3,189886726736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04379"/>
    <x v="14"/>
    <m/>
    <n v="1.2500000000000001E-2"/>
    <m/>
    <m/>
    <m/>
    <m/>
    <m/>
    <m/>
    <x v="0"/>
    <x v="0"/>
    <n v="1"/>
    <n v="1.2500000000000001E-2"/>
    <n v="1150"/>
    <n v="14.375"/>
    <m/>
    <n v="14.375"/>
    <n v="2070.9142499999998"/>
    <n v="6.5124809900639E-2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77.641042499999998"/>
    <n v="77.641042499999998"/>
    <n v="0"/>
    <n v="46.456742624999997"/>
    <n v="46.456742624999997"/>
    <n v="0"/>
    <n v="1.21444528125"/>
    <n v="5.4119452812500004"/>
    <n v="-4.1974999999999998"/>
    <n v="2.2503605374999999E-2"/>
    <n v="6.9753718625000004E-3"/>
    <n v="1.9020863437499999E-3"/>
    <s v="5,54151003125E-7"/>
    <n v="5.7909230135416996"/>
    <n v="5.1178605076099997"/>
    <n v="0.35174665275130002"/>
    <n v="0.35174665275130002"/>
    <n v="0"/>
    <n v="0.21046862831693999"/>
    <n v="0.21046862831693999"/>
    <n v="0"/>
    <n v="5.5019490835572001E-3"/>
    <n v="2.4518393574543999E-2"/>
    <n v="-1.9016444490987001E-2"/>
    <n v="1.019508189305E-4"/>
    <s v="3,1601375063066E-5"/>
    <s v="8,6172529774831E-6"/>
    <s v="2,51053765111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17907"/>
    <x v="1"/>
    <m/>
    <n v="0.12"/>
    <m/>
    <m/>
    <m/>
    <m/>
    <m/>
    <m/>
    <x v="0"/>
    <x v="0"/>
    <n v="0.8"/>
    <n v="9.6000000000000002E-2"/>
    <n v="40"/>
    <n v="3.84"/>
    <m/>
    <n v="3.84"/>
    <n v="553.20422399999995"/>
    <n v="1.7396818783892001E-2"/>
    <s v="m²"/>
    <s v="kg"/>
    <n v="30358"/>
    <s v="Bauteile aus dem Energieausweis"/>
    <n v="5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s v="2,692224E-7"/>
    <n v="9.8924839040000005"/>
    <n v="5.1178605076099997"/>
    <n v="0.37130160806601997"/>
    <n v="0.37130160806601997"/>
    <n v="0"/>
    <n v="1.3651241599419E-2"/>
    <n v="1.3651241599419E-2"/>
    <n v="0"/>
    <n v="3.0286662861941999E-2"/>
    <n v="3.0286662861941999E-2"/>
    <n v="0"/>
    <n v="2.0544468698509001E-4"/>
    <s v="5,4105766074417E-5"/>
    <s v="8,8084127825123E-5"/>
    <s v="1,2196909649387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18934"/>
    <x v="2"/>
    <m/>
    <n v="0.12"/>
    <m/>
    <m/>
    <m/>
    <m/>
    <m/>
    <m/>
    <x v="0"/>
    <x v="0"/>
    <n v="0.2"/>
    <n v="2.4E-2"/>
    <n v="475"/>
    <n v="11.4"/>
    <m/>
    <n v="11.4"/>
    <n v="1642.3250399999999"/>
    <n v="5.1646805764681003E-2"/>
    <s v="m²"/>
    <s v="kg"/>
    <n v="30358"/>
    <s v="Bauteile aus dem Energieausweis"/>
    <n v="5"/>
    <n v="2"/>
    <s v="ja"/>
    <n v="0"/>
    <n v="5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s v="1,814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s v="2,06796E-7"/>
    <n v="1.9864509690000001"/>
    <n v="5.1178605076099997"/>
    <n v="0.18530723099695001"/>
    <n v="0.18530723099695001"/>
    <n v="0"/>
    <n v="1.0496586795917"/>
    <n v="0.15926774820865"/>
    <n v="0.89039093138309"/>
    <n v="-3.6062566504285E-2"/>
    <n v="1.0863721213504001E-2"/>
    <n v="-4.6926287717788999E-2"/>
    <s v="6,6247352589675E-5"/>
    <s v="3,010614142838E-5"/>
    <s v="2,625889081442E-5"/>
    <s v="9,3687305657131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m/>
    <x v="16"/>
    <m/>
    <n v="6.0000000000000001E-3"/>
    <m/>
    <m/>
    <m/>
    <m/>
    <m/>
    <m/>
    <x v="0"/>
    <x v="0"/>
    <n v="1"/>
    <n v="6.0000000000000001E-3"/>
    <n v="130"/>
    <n v="0.78"/>
    <m/>
    <n v="0.78"/>
    <n v="112.369608"/>
    <n v="3.5337288154780998E-3"/>
    <s v="m²"/>
    <s v="kg"/>
    <n v="30358"/>
    <s v="Bauteile aus dem Energieausweis"/>
    <n v="6"/>
    <n v="1"/>
    <s v="ja"/>
    <n v="0"/>
    <n v="50"/>
    <n v="50"/>
    <s v="Sekundärkonstruktion"/>
    <m/>
    <m/>
    <n v="4"/>
    <m/>
    <n v="3"/>
    <m/>
    <n v="0"/>
    <n v="100"/>
    <n v="0"/>
    <m/>
    <n v="14.769349"/>
    <n v="13.220148999999999"/>
    <n v="1.5491999999999999"/>
    <n v="18.249452000000002"/>
    <n v="1.8490519999999999"/>
    <n v="16.400400000000001"/>
    <n v="-1.2006950000000001E-2"/>
    <n v="0.87899305000000005"/>
    <n v="-0.89100000000000001"/>
    <n v="3.4132364000000002E-3"/>
    <n v="1.5657657E-3"/>
    <n v="4.8339577999999999E-4"/>
    <s v="6,7269E-8"/>
    <n v="0"/>
    <n v="0"/>
    <n v="6"/>
    <n v="11.52009222"/>
    <n v="10.311716219999999"/>
    <n v="1.2083759999999999"/>
    <n v="14.23457256"/>
    <n v="1.44226056"/>
    <n v="12.792312000000001"/>
    <n v="-9.3654209999998999E-3"/>
    <n v="0.685614579"/>
    <n v="-0.69498000000000004"/>
    <n v="2.6623243919999999E-3"/>
    <n v="1.221297246E-3"/>
    <n v="3.7704870840000001E-4"/>
    <s v="5,246982E-8"/>
    <n v="0.73741875609999996"/>
    <n v="5.1178605076099997"/>
    <n v="5.2190874147153003E-2"/>
    <n v="4.6716421466214998E-2"/>
    <n v="5.4744526809386998E-3"/>
    <n v="6.4488614399085001E-2"/>
    <n v="6.5340483337174996E-3"/>
    <n v="5.7954566065368002E-2"/>
    <n v="-4.2429305201005002E-5"/>
    <n v="3.10612306939E-3"/>
    <n v="-3.1485523745909999E-3"/>
    <s v="1,2061451820719E-5"/>
    <s v="5,5329913723773E-6"/>
    <s v="1,7081895970665E-6"/>
    <s v="2,377104036884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18764"/>
    <x v="17"/>
    <m/>
    <n v="8.0000000000000004E-4"/>
    <m/>
    <m/>
    <m/>
    <m/>
    <m/>
    <m/>
    <x v="0"/>
    <x v="0"/>
    <n v="1"/>
    <n v="8.0000000000000004E-4"/>
    <n v="220"/>
    <n v="0.17599999999999999"/>
    <m/>
    <n v="0.17599999999999999"/>
    <n v="25.3551936"/>
    <n v="7.9735419426173995E-4"/>
    <s v="m²"/>
    <s v="kg"/>
    <n v="30358"/>
    <s v="Bauteile aus dem Energieausweis"/>
    <n v="7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30.267917856"/>
    <n v="15.318477855999999"/>
    <n v="14.949439999999999"/>
    <n v="0.45840146879999999"/>
    <n v="0.45840146879999999"/>
    <n v="0"/>
    <n v="1.0044645247999999"/>
    <n v="1.0081605248000001"/>
    <n v="-3.6960000000000001E-3"/>
    <n v="2.9292734592000001E-3"/>
    <n v="5.6547416639999995E-4"/>
    <n v="8.7244706559999998E-4"/>
    <s v="1,3769139648E-8"/>
    <n v="1.5669111438933001"/>
    <n v="5.1178605076099997"/>
    <n v="0.13712642757984"/>
    <n v="6.9399162319245006E-2"/>
    <n v="6.7727265260592001E-2"/>
    <n v="2.0767518966102998E-3"/>
    <n v="2.0767518966102998E-3"/>
    <n v="0"/>
    <n v="4.5506477377067998E-3"/>
    <n v="4.5673921757863004E-3"/>
    <n v="-1.6744438079496E-5"/>
    <s v="1,3270843629731E-5"/>
    <s v="2,5618363541233E-6"/>
    <s v="3,9525529944745E-6"/>
    <s v="6,2380007100616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m/>
    <x v="5"/>
    <m/>
    <n v="0.04"/>
    <m/>
    <m/>
    <m/>
    <m/>
    <m/>
    <m/>
    <x v="0"/>
    <x v="0"/>
    <n v="1"/>
    <n v="0.04"/>
    <n v="475"/>
    <n v="19"/>
    <m/>
    <n v="19"/>
    <n v="2737.2084"/>
    <n v="8.6078009607801001E-2"/>
    <s v="m²"/>
    <s v="kg"/>
    <n v="30358"/>
    <s v="Bauteile aus dem Energieausweis"/>
    <n v="8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0"/>
    <n v="0"/>
    <n v="6"/>
    <n v="174.8414751"/>
    <n v="167.74269509999999"/>
    <n v="7.0987799999999996"/>
    <n v="336.00000899999998"/>
    <n v="12.033289"/>
    <n v="323.96672000000001"/>
    <n v="-6.1804748500000004"/>
    <n v="9.6930751500000003"/>
    <n v="-15.87355"/>
    <n v="5.47464062E-2"/>
    <n v="2.6228548099999999E-2"/>
    <n v="1.9745472600000001E-2"/>
    <s v="8,37463E-7"/>
    <n v="12.097490855"/>
    <n v="5.1178605076099997"/>
    <n v="0.79210558807894005"/>
    <n v="0.75994512212928"/>
    <n v="3.2160465949666997E-2"/>
    <n v="1.5222216843644001"/>
    <n v="5.4515871902917998E-2"/>
    <n v="1.4677058124614999"/>
    <n v="-2.8000156501004E-2"/>
    <n v="4.3913716625834001E-2"/>
    <n v="-7.1913873126837002E-2"/>
    <n v="2.4802429888822001E-4"/>
    <n v="1.1882637975529E-4"/>
    <s v="8,9455314745967E-5"/>
    <s v="3,794060429483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4"/>
    <x v="3"/>
    <n v="102"/>
    <s v="opake Bauteile"/>
    <s v="nein"/>
    <n v="144.06360000000001"/>
    <m/>
    <n v="2142717929"/>
    <x v="13"/>
    <m/>
    <n v="8.9999999999999993E-3"/>
    <m/>
    <m/>
    <m/>
    <m/>
    <m/>
    <m/>
    <x v="0"/>
    <x v="0"/>
    <n v="1"/>
    <n v="8.9999999999999993E-3"/>
    <n v="38"/>
    <n v="0.34200000000000003"/>
    <m/>
    <n v="0.34200000000000003"/>
    <n v="49.269751200000002"/>
    <n v="1.5494041729404E-3"/>
    <s v="m²"/>
    <s v="kg"/>
    <n v="30358"/>
    <s v="Bauteile aus dem Energieausweis"/>
    <n v="9"/>
    <n v="1"/>
    <s v="ja"/>
    <n v="0"/>
    <n v="50"/>
    <n v="50"/>
    <s v="Sekundärkonstruktion"/>
    <m/>
    <m/>
    <n v="5"/>
    <m/>
    <n v="4"/>
    <m/>
    <n v="0"/>
    <n v="100"/>
    <n v="0"/>
    <m/>
    <n v="131.42972"/>
    <n v="109.82971999999999"/>
    <n v="21.6"/>
    <n v="2.2548433000000001"/>
    <n v="2.2548433000000001"/>
    <n v="0"/>
    <n v="5.0115335999999999"/>
    <n v="5.0115335999999999"/>
    <n v="0"/>
    <n v="1.7419766E-2"/>
    <n v="6.9117468000000001E-3"/>
    <n v="1.1384409999999999E-2"/>
    <s v="2,142775E-7"/>
    <n v="0"/>
    <n v="0"/>
    <n v="6"/>
    <n v="44.948964240000002"/>
    <n v="37.561764240000002"/>
    <n v="7.3872"/>
    <n v="0.77115640860000001"/>
    <n v="0.77115640860000001"/>
    <n v="0"/>
    <n v="1.7139444911999999"/>
    <n v="1.7139444911999999"/>
    <n v="0"/>
    <n v="5.9575599719999999E-3"/>
    <n v="2.3638174056E-3"/>
    <n v="3.8934682200000002E-3"/>
    <s v="7,3282905E-8"/>
    <n v="2.5782975528000001"/>
    <n v="5.1178605076099997"/>
    <n v="0.20363775661639"/>
    <n v="0.17017062648087999"/>
    <n v="3.3467130135513001E-2"/>
    <n v="3.4936636183466999E-3"/>
    <n v="3.4936636183466999E-3"/>
    <n v="0"/>
    <n v="7.7648910726711004E-3"/>
    <n v="7.7648910726711004E-3"/>
    <n v="0"/>
    <s v="2,6990258132046E-5"/>
    <s v="1,0709089334228E-5"/>
    <s v="1,7639052360465E-5"/>
    <s v="3,3200245266724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18"/>
    <m/>
    <n v="0.04"/>
    <m/>
    <m/>
    <m/>
    <m/>
    <m/>
    <m/>
    <x v="1"/>
    <x v="1"/>
    <n v="1"/>
    <n v="0.04"/>
    <n v="2400"/>
    <n v="96"/>
    <m/>
    <n v="96"/>
    <n v="567864.19200000004"/>
    <n v="17.857836244731001"/>
    <s v="m²"/>
    <s v="kg"/>
    <n v="30358"/>
    <s v="Bauteile aus dem Energieausweis"/>
    <n v="1"/>
    <n v="1"/>
    <s v="ja"/>
    <n v="0"/>
    <n v="50"/>
    <n v="50"/>
    <s v="Tertiärkonstruktion - Boden- und Wandbeläge, 50a"/>
    <m/>
    <m/>
    <m/>
    <m/>
    <m/>
    <m/>
    <n v="0"/>
    <n v="0"/>
    <n v="0"/>
    <m/>
    <n v="0.70247170999999997"/>
    <n v="0.70247170999999997"/>
    <n v="0"/>
    <n v="3.7404760000000002E-2"/>
    <n v="3.7404760000000002E-2"/>
    <n v="0"/>
    <n v="9.2611880999999993E-2"/>
    <n v="9.2611880999999993E-2"/>
    <n v="0"/>
    <n v="1.6944177999999999E-4"/>
    <n v="1.1144267E-4"/>
    <s v="2,6770113E-5"/>
    <s v="2,1878503E-9"/>
    <n v="0"/>
    <n v="0"/>
    <n v="6"/>
    <n v="67.437284160000004"/>
    <n v="67.437284160000004"/>
    <n v="0"/>
    <n v="3.59085696"/>
    <n v="3.59085696"/>
    <n v="0"/>
    <n v="8.8907405760000007"/>
    <n v="8.8907405760000007"/>
    <n v="0"/>
    <n v="1.6266410879999998E-2"/>
    <n v="1.0698496320000001E-2"/>
    <n v="2.5699308479999999E-3"/>
    <s v="2,100336288E-7"/>
    <n v="5.8985543519999997"/>
    <n v="139.37849225132999"/>
    <n v="12.544624763736"/>
    <n v="12.544624763736"/>
    <n v="0"/>
    <n v="0.66796807885345999"/>
    <n v="0.66796807885345999"/>
    <n v="0"/>
    <n v="1.6538478052145"/>
    <n v="1.6538478052145"/>
    <n v="0"/>
    <n v="3.0258635602557001E-3"/>
    <n v="1.9901249515356001E-3"/>
    <n v="4.7805629420693998E-4"/>
    <s v="3,907027238538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19"/>
    <m/>
    <n v="0.05"/>
    <m/>
    <m/>
    <m/>
    <m/>
    <m/>
    <m/>
    <x v="2"/>
    <x v="1"/>
    <n v="1"/>
    <n v="0.05"/>
    <n v="1800"/>
    <n v="90"/>
    <m/>
    <n v="90"/>
    <n v="532372.68000000005"/>
    <n v="16.741721479435"/>
    <s v="m²"/>
    <s v="kg"/>
    <n v="30358"/>
    <s v="Bauteile aus dem Energieausweis"/>
    <n v="2"/>
    <n v="1"/>
    <s v="ja"/>
    <n v="0"/>
    <n v="50"/>
    <n v="50"/>
    <s v="Sekundärkonstruktion"/>
    <m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s v="4,833208E-5"/>
    <s v="1,4589555E-5"/>
    <s v="5,2414253E-6"/>
    <s v="7,5267096E-10"/>
    <n v="1"/>
    <n v="0"/>
    <n v="6"/>
    <n v="9.3337559999999993"/>
    <n v="9.3337559999999993"/>
    <n v="0"/>
    <n v="0.23579745299999999"/>
    <n v="0.23579745299999999"/>
    <n v="0"/>
    <n v="0.63713972699999999"/>
    <n v="0.63713972699999999"/>
    <n v="0"/>
    <n v="4.3498872000000003E-3"/>
    <n v="1.31305995E-3"/>
    <n v="4.7172827700000001E-4"/>
    <s v="6,77403864E-8"/>
    <n v="0.9973001145"/>
    <n v="139.37849225132999"/>
    <n v="1.7362571478779001"/>
    <n v="1.7362571478779001"/>
    <n v="0"/>
    <n v="4.3862836485402998E-2"/>
    <n v="4.3862836485402998E-2"/>
    <n v="0"/>
    <n v="0.11852017614353"/>
    <n v="0.11852017614353"/>
    <n v="0"/>
    <n v="8.0916222188178995E-4"/>
    <n v="2.4425426631889999E-4"/>
    <s v="8,7750482527866E-5"/>
    <s v="1,2601007577979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20"/>
    <m/>
    <n v="5.0000000000000001E-3"/>
    <m/>
    <m/>
    <m/>
    <m/>
    <m/>
    <m/>
    <x v="2"/>
    <x v="1"/>
    <n v="1"/>
    <n v="5.0000000000000001E-3"/>
    <n v="300"/>
    <n v="1.5"/>
    <m/>
    <n v="1.5"/>
    <n v="8872.8780000000006"/>
    <n v="0.27902869132392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s v="1,17350622E-7"/>
    <n v="13.354356340000001"/>
    <n v="139.37849225132999"/>
    <n v="47.986463116247997"/>
    <n v="24.285766075194001"/>
    <n v="23.700697041053999"/>
    <n v="0.72674523829674997"/>
    <n v="0.72674523829674997"/>
    <n v="0"/>
    <n v="1.5924683058878"/>
    <n v="1.5983279084055999"/>
    <n v="-5.8596025178024001E-3"/>
    <n v="4.6440417036959E-3"/>
    <n v="8.9649725356861999E-4"/>
    <n v="1.3831691077487E-3"/>
    <s v="2,1829460321805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21"/>
    <m/>
    <n v="0.01"/>
    <m/>
    <m/>
    <m/>
    <m/>
    <m/>
    <m/>
    <x v="2"/>
    <x v="1"/>
    <n v="1"/>
    <n v="0.01"/>
    <n v="1100"/>
    <n v="11"/>
    <m/>
    <n v="11"/>
    <n v="65067.771999999997"/>
    <n v="2.0462104030421"/>
    <s v="m²"/>
    <s v="kg"/>
    <n v="30358"/>
    <s v="Bauteile aus dem Energieausweis"/>
    <n v="4"/>
    <n v="1"/>
    <s v="ja"/>
    <n v="1"/>
    <n v="25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s v="3,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s v="6,9587837E-6"/>
    <n v="49.843088936667002"/>
    <n v="139.37849225132999"/>
    <n v="170.22850363913"/>
    <n v="70.551047033661007"/>
    <n v="99.677456605469999"/>
    <n v="2.7188158457357998"/>
    <n v="2.7188158457357998"/>
    <n v="0"/>
    <n v="3.368021358275"/>
    <n v="3.3721137790811002"/>
    <n v="-4.0924208060841996E-3"/>
    <n v="2.2771106780072999E-2"/>
    <n v="7.4286277259369001E-3"/>
    <n v="4.6574527526965E-3"/>
    <s v="1,2944668726782E-6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n v="2142717437"/>
    <x v="22"/>
    <m/>
    <n v="0.26"/>
    <m/>
    <m/>
    <m/>
    <m/>
    <m/>
    <m/>
    <x v="2"/>
    <x v="1"/>
    <n v="1"/>
    <n v="0.26"/>
    <n v="23"/>
    <n v="5.98"/>
    <m/>
    <n v="5.98"/>
    <n v="35373.206960000003"/>
    <n v="1.1123943827447"/>
    <s v="m²"/>
    <s v="kg"/>
    <n v="30358"/>
    <s v="Bauteile aus dem Energieausweis"/>
    <n v="5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591.39520960000004"/>
    <n v="352.1952096"/>
    <n v="239.2"/>
    <n v="5.7369585676000003"/>
    <n v="5.7369585676000003"/>
    <n v="0"/>
    <n v="25.148176586000002"/>
    <n v="25.148176586000002"/>
    <n v="0"/>
    <n v="8.9104625219999997E-2"/>
    <n v="1.561712581E-2"/>
    <n v="5.4643513573999998E-2"/>
    <s v="7,8909688E-7"/>
    <n v="35.785153113667"/>
    <n v="139.37849225132999"/>
    <n v="110.01082092662"/>
    <n v="65.515045616828004"/>
    <n v="44.495775309788002"/>
    <n v="1.0671840275313"/>
    <n v="1.0671840275313"/>
    <n v="0"/>
    <n v="4.6780418679829996"/>
    <n v="4.6780418679829996"/>
    <n v="0"/>
    <n v="1.6575164644029999E-2"/>
    <n v="2.9050841180036E-3"/>
    <n v="1.0164738721263E-2"/>
    <s v="1,4678711316946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n v="2142718135"/>
    <x v="23"/>
    <m/>
    <n v="0.04"/>
    <m/>
    <m/>
    <m/>
    <m/>
    <m/>
    <m/>
    <x v="2"/>
    <x v="1"/>
    <n v="1"/>
    <n v="0.04"/>
    <n v="17"/>
    <n v="0.68"/>
    <m/>
    <n v="0.68"/>
    <n v="4022.3713600000001"/>
    <n v="0.12649300673350999"/>
    <s v="m²"/>
    <s v="kg"/>
    <n v="30358"/>
    <s v="Bauteile aus dem Energieausweis"/>
    <n v="6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67.248953599999993"/>
    <n v="40.048953599999997"/>
    <n v="27.2"/>
    <n v="0.65236318159999995"/>
    <n v="0.65236318159999995"/>
    <n v="0"/>
    <n v="2.8596588760000001"/>
    <n v="2.8596588760000001"/>
    <n v="0"/>
    <n v="1.0132298519999999E-2"/>
    <n v="1.7758604600000001E-3"/>
    <n v="6.2136436840000003E-3"/>
    <s v="8,973008E-8"/>
    <n v="4.0692147353332997"/>
    <n v="139.37849225132999"/>
    <n v="12.509591677274001"/>
    <n v="7.4498714079335997"/>
    <n v="5.0597202693404002"/>
    <n v="0.12135202988651"/>
    <n v="0.12135202988651"/>
    <n v="0"/>
    <n v="0.53195124920208003"/>
    <n v="0.53195124920208003"/>
    <n v="0"/>
    <n v="1.8848013307592999E-3"/>
    <n v="3.3034401341847E-4"/>
    <n v="1.1558565769998E-3"/>
    <s v="1,669151119652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24"/>
    <m/>
    <n v="5.0000000000000001E-3"/>
    <m/>
    <m/>
    <m/>
    <m/>
    <m/>
    <m/>
    <x v="2"/>
    <x v="1"/>
    <n v="1"/>
    <n v="5.0000000000000001E-3"/>
    <n v="1100"/>
    <n v="5.5"/>
    <m/>
    <n v="5.5"/>
    <n v="32533.885999999999"/>
    <n v="1.023105201521"/>
    <s v="m²"/>
    <s v="kg"/>
    <n v="30358"/>
    <s v="Bauteile aus dem Energieausweis"/>
    <n v="7"/>
    <n v="1"/>
    <s v="ja"/>
    <n v="0"/>
    <n v="50"/>
    <n v="35"/>
    <s v="Gebäudeabdichtung/Folien, 35a"/>
    <n v="50"/>
    <m/>
    <n v="5"/>
    <m/>
    <n v="5"/>
    <m/>
    <n v="0"/>
    <n v="100"/>
    <n v="0"/>
    <m/>
    <n v="51.201659999999997"/>
    <n v="25.131136000000001"/>
    <n v="26.070523999999999"/>
    <n v="2.4764841999999998"/>
    <n v="2.4764841999999998"/>
    <n v="0"/>
    <n v="1.6023311"/>
    <n v="1.6263311"/>
    <n v="-2.4E-2"/>
    <n v="8.6886602999999996E-3"/>
    <n v="2.0917025000000001E-3"/>
    <n v="1.2318813000000001E-3"/>
    <s v="3,3591715E-7"/>
    <n v="0"/>
    <n v="0"/>
    <n v="6"/>
    <n v="281.60912999999999"/>
    <n v="138.221248"/>
    <n v="143.38788199999999"/>
    <n v="13.6206631"/>
    <n v="13.6206631"/>
    <n v="0"/>
    <n v="8.8128210500000002"/>
    <n v="8.9448210499999998"/>
    <n v="-0.13200000000000001"/>
    <n v="4.7787631650000002E-2"/>
    <n v="1.150436375E-2"/>
    <n v="6.7753471500000004E-3"/>
    <s v="1,847544325E-6"/>
    <n v="17.227458728333001"/>
    <n v="139.37849225132999"/>
    <n v="52.384684672512002"/>
    <n v="25.711795961732999"/>
    <n v="26.672888710778999"/>
    <n v="2.5337038665047"/>
    <n v="2.5337038665047"/>
    <n v="0"/>
    <n v="1.6393532829688999"/>
    <n v="1.6639078078053999"/>
    <n v="-2.4554524836504998E-2"/>
    <n v="8.8894135471793995E-3"/>
    <n v="2.1400317077846002E-3"/>
    <n v="1.2603441656864999E-3"/>
    <s v="3,4367858344513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042"/>
    <x v="4"/>
    <n v="114"/>
    <s v="opake Bauteile"/>
    <s v="nein"/>
    <n v="5915.2520000000004"/>
    <m/>
    <m/>
    <x v="0"/>
    <m/>
    <n v="0.22"/>
    <m/>
    <m/>
    <m/>
    <m/>
    <m/>
    <m/>
    <x v="2"/>
    <x v="1"/>
    <n v="1"/>
    <n v="0.22"/>
    <n v="475"/>
    <n v="104.5"/>
    <m/>
    <n v="104.5"/>
    <n v="618143.83400000003"/>
    <n v="19.438998828900001"/>
    <s v="m²"/>
    <s v="kg"/>
    <n v="30358"/>
    <s v="Bauteile aus dem Energieausweis"/>
    <n v="8"/>
    <n v="1"/>
    <s v="ja"/>
    <n v="0"/>
    <n v="50"/>
    <n v="50"/>
    <s v="Sekundärkonstruktion"/>
    <m/>
    <m/>
    <n v="1"/>
    <m/>
    <n v="1"/>
    <m/>
    <n v="0"/>
    <n v="100"/>
    <n v="0"/>
    <m/>
    <n v="7.3674311000000001"/>
    <n v="7.0057344636360002"/>
    <n v="0.36169663636400001"/>
    <n v="14.931191"/>
    <n v="0.53119099999999997"/>
    <n v="14.4"/>
    <n v="-0.42124977000000002"/>
    <n v="0.42520023000000001"/>
    <n v="-0.84645000000000004"/>
    <n v="2.1681996000000002E-3"/>
    <n v="8.9600653000000002E-4"/>
    <n v="7.5086816999999999E-4"/>
    <s v="3,6616E-8"/>
    <n v="0"/>
    <n v="0"/>
    <n v="6"/>
    <n v="769.89654995000001"/>
    <n v="732.09925144995998"/>
    <n v="37.797298500038004"/>
    <n v="1560.3094595"/>
    <n v="55.509459499999998"/>
    <n v="1504.8"/>
    <n v="-44.020600965"/>
    <n v="44.433424035000002"/>
    <n v="-88.454025000000001"/>
    <n v="0.22657685820000001"/>
    <n v="9.3632682384999999E-2"/>
    <n v="7.8465723764999995E-2"/>
    <s v="3,826372E-6"/>
    <n v="48.536699264166998"/>
    <n v="139.37849225132999"/>
    <n v="143.21548452490001"/>
    <n v="136.1844640342"/>
    <n v="7.0310204906968004"/>
    <n v="290.24740436308002"/>
    <n v="10.325821226922001"/>
    <n v="279.92158313616"/>
    <n v="-8.1886737857042995"/>
    <n v="8.2654667730179998"/>
    <n v="-16.454140558721999"/>
    <n v="4.2147629485221001E-2"/>
    <n v="1.7417469887356998E-2"/>
    <n v="1.4596125477288001E-2"/>
    <s v="7,11778381119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18"/>
    <m/>
    <n v="0.04"/>
    <m/>
    <m/>
    <m/>
    <m/>
    <m/>
    <m/>
    <x v="2"/>
    <x v="1"/>
    <n v="1"/>
    <n v="0.04"/>
    <n v="2400"/>
    <n v="96"/>
    <m/>
    <n v="96"/>
    <n v="7849.92"/>
    <n v="0.24685935100171999"/>
    <s v="m²"/>
    <s v="kg"/>
    <n v="30358"/>
    <s v="Bauteile aus dem Energieausweis"/>
    <n v="1"/>
    <n v="1"/>
    <s v="ja"/>
    <n v="0"/>
    <n v="50"/>
    <n v="50"/>
    <s v="Tertiärkonstruktion - Boden- und Wandbeläge, 50a"/>
    <m/>
    <m/>
    <m/>
    <m/>
    <m/>
    <m/>
    <n v="0"/>
    <n v="0"/>
    <n v="0"/>
    <m/>
    <n v="0.70247170999999997"/>
    <n v="0.70247170999999997"/>
    <n v="0"/>
    <n v="3.7404760000000002E-2"/>
    <n v="3.7404760000000002E-2"/>
    <n v="0"/>
    <n v="9.2611880999999993E-2"/>
    <n v="9.2611880999999993E-2"/>
    <n v="0"/>
    <n v="1.6944177999999999E-4"/>
    <n v="1.1144267E-4"/>
    <s v="2,6770113E-5"/>
    <s v="2,1878503E-9"/>
    <n v="0"/>
    <n v="0"/>
    <n v="6"/>
    <n v="67.437284160000004"/>
    <n v="67.437284160000004"/>
    <n v="0"/>
    <n v="3.59085696"/>
    <n v="3.59085696"/>
    <n v="0"/>
    <n v="8.8907405760000007"/>
    <n v="8.8907405760000007"/>
    <n v="0"/>
    <n v="1.6266410879999998E-2"/>
    <n v="1.0698496320000001E-2"/>
    <n v="2.5699308479999999E-3"/>
    <s v="2,100336288E-7"/>
    <n v="5.8985543519999997"/>
    <n v="160.71530899845001"/>
    <n v="0.17341171042767001"/>
    <n v="0.17341171042767001"/>
    <n v="0"/>
    <n v="9.2337147779752993E-3"/>
    <n v="9.2337147779752993E-3"/>
    <n v="0"/>
    <n v="2.2862108838709001E-2"/>
    <n v="2.2862108838709001E-2"/>
    <n v="0"/>
    <s v="4,1828287843377E-5"/>
    <s v="2,7510665190099E-5"/>
    <s v="6,6084527214228E-6"/>
    <s v="5,4009130514693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19"/>
    <m/>
    <n v="5.2999999999999999E-2"/>
    <m/>
    <m/>
    <m/>
    <m/>
    <m/>
    <m/>
    <x v="2"/>
    <x v="1"/>
    <n v="1"/>
    <n v="5.2999999999999999E-2"/>
    <n v="1800"/>
    <n v="95.4"/>
    <m/>
    <n v="95.4"/>
    <n v="7800.8580000000002"/>
    <n v="0.24531648005796"/>
    <s v="m²"/>
    <s v="kg"/>
    <n v="30358"/>
    <s v="Bauteile aus dem Energieausweis"/>
    <n v="2"/>
    <n v="1"/>
    <s v="ja"/>
    <n v="0"/>
    <n v="50"/>
    <n v="50"/>
    <s v="Sekundärkonstruktion"/>
    <m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s v="4,833208E-5"/>
    <s v="1,4589555E-5"/>
    <s v="5,2414253E-6"/>
    <s v="7,5267096E-10"/>
    <n v="1"/>
    <n v="0"/>
    <n v="6"/>
    <n v="9.8937813600000002"/>
    <n v="9.8937813600000002"/>
    <n v="0"/>
    <n v="0.24994530018"/>
    <n v="0.24994530018"/>
    <n v="0"/>
    <n v="0.67536811062000002"/>
    <n v="0.67536811062000002"/>
    <n v="0"/>
    <n v="4.6108804320000004E-3"/>
    <n v="1.391843547E-3"/>
    <n v="5.0003197362000001E-4"/>
    <s v="7,1804809584E-8"/>
    <n v="1.05713812137"/>
    <n v="160.71530899845001"/>
    <n v="2.5441379640443001E-2"/>
    <n v="2.5441379640443001E-2"/>
    <n v="0"/>
    <n v="6.4272223529548002E-4"/>
    <n v="6.4272223529548002E-4"/>
    <n v="0"/>
    <n v="1.7366763903637001E-3"/>
    <n v="1.7366763903637001E-3"/>
    <n v="0"/>
    <s v="1,185665573948E-5"/>
    <s v="3,5790582782121E-6"/>
    <s v="1,2858080050828E-6"/>
    <s v="1,8464259054905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20"/>
    <m/>
    <n v="5.0000000000000001E-3"/>
    <m/>
    <m/>
    <m/>
    <m/>
    <m/>
    <m/>
    <x v="2"/>
    <x v="1"/>
    <n v="1"/>
    <n v="5.0000000000000001E-3"/>
    <n v="300"/>
    <n v="1.5"/>
    <m/>
    <n v="1.5"/>
    <n v="122.655"/>
    <n v="3.8571773594019E-3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s v="1,17350622E-7"/>
    <n v="13.354356340000001"/>
    <n v="160.71530899845001"/>
    <n v="0.66334504244546"/>
    <n v="0.33571639753785998"/>
    <n v="0.32762864490760002"/>
    <n v="1.0046225948704E-2"/>
    <n v="1.0046225948704E-2"/>
    <n v="0"/>
    <n v="2.2013623996483E-2"/>
    <n v="2.209462472103E-2"/>
    <n v="-8.1000724547440996E-5"/>
    <s v="6,41973140132E-5"/>
    <s v="1,2392807681618E-5"/>
    <s v="1,9120358344937E-5"/>
    <s v="3,0176144152676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21"/>
    <m/>
    <n v="0.01"/>
    <m/>
    <m/>
    <m/>
    <m/>
    <m/>
    <m/>
    <x v="2"/>
    <x v="1"/>
    <n v="1"/>
    <n v="0.01"/>
    <n v="1100"/>
    <n v="11"/>
    <m/>
    <n v="11"/>
    <n v="899.47"/>
    <n v="2.8285967302281001E-2"/>
    <s v="m²"/>
    <s v="kg"/>
    <n v="30358"/>
    <s v="Bauteile aus dem Energieausweis"/>
    <n v="4"/>
    <n v="1"/>
    <s v="ja"/>
    <n v="1"/>
    <n v="25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s v="3,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s v="6,9587837E-6"/>
    <n v="49.843088936667002"/>
    <n v="160.71530899845001"/>
    <n v="2.3531685112607001"/>
    <n v="0.97526852887119997"/>
    <n v="1.3778999823895"/>
    <n v="3.7583787082243997E-2"/>
    <n v="3.7583787082243997E-2"/>
    <n v="0"/>
    <n v="4.6558135894488997E-2"/>
    <n v="4.6614707829094E-2"/>
    <n v="-5.6571934604562E-5"/>
    <n v="3.1477837316255998E-4"/>
    <n v="1.0269028084515E-4"/>
    <s v="6,4382702814351E-5"/>
    <s v="1,789417529107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n v="2142717435"/>
    <x v="25"/>
    <m/>
    <n v="0.22500000000000001"/>
    <m/>
    <m/>
    <m/>
    <m/>
    <m/>
    <m/>
    <x v="2"/>
    <x v="1"/>
    <n v="1"/>
    <n v="0.22500000000000001"/>
    <n v="23"/>
    <n v="5.1749999999999998"/>
    <m/>
    <n v="5.1749999999999998"/>
    <n v="423.15974999999997"/>
    <n v="1.3307261889937E-2"/>
    <s v="m²"/>
    <s v="kg"/>
    <n v="30358"/>
    <s v="Bauteile aus dem Energieausweis"/>
    <n v="5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511.78431599999999"/>
    <n v="304.78431599999999"/>
    <n v="207"/>
    <n v="4.9646756835000003"/>
    <n v="4.9646756835000003"/>
    <n v="0"/>
    <n v="21.7628451225"/>
    <n v="21.7628451225"/>
    <n v="0"/>
    <n v="7.7109771825000006E-2"/>
    <n v="1.35148204125E-2"/>
    <n v="4.7287655977500002E-2"/>
    <s v="6,828723E-7"/>
    <n v="30.96792096375"/>
    <n v="160.71530899845001"/>
    <n v="1.3160285843815001"/>
    <n v="0.78373810878400996"/>
    <n v="0.53229047559747"/>
    <n v="1.2766423095446001E-2"/>
    <n v="1.2766423095446001E-2"/>
    <n v="0"/>
    <n v="5.5962102321785001E-2"/>
    <n v="5.5962102321785001E-2"/>
    <n v="0"/>
    <n v="1.9828404404802999E-4"/>
    <s v="3,4752706207652E-5"/>
    <n v="1.2159791734373E-4"/>
    <s v="1,7559730499485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24"/>
    <m/>
    <n v="5.0000000000000001E-3"/>
    <m/>
    <m/>
    <m/>
    <m/>
    <m/>
    <m/>
    <x v="2"/>
    <x v="1"/>
    <n v="1"/>
    <n v="5.0000000000000001E-3"/>
    <n v="1100"/>
    <n v="5.5"/>
    <m/>
    <n v="5.5"/>
    <n v="449.73500000000001"/>
    <n v="1.4142983651139999E-2"/>
    <s v="m²"/>
    <s v="kg"/>
    <n v="30358"/>
    <s v="Bauteile aus dem Energieausweis"/>
    <n v="6"/>
    <n v="1"/>
    <s v="ja"/>
    <n v="1"/>
    <n v="35"/>
    <n v="35"/>
    <s v="Gebäudeabdichtung/Folien, 35a"/>
    <m/>
    <m/>
    <n v="5"/>
    <m/>
    <n v="5"/>
    <m/>
    <n v="0"/>
    <n v="100"/>
    <n v="0"/>
    <m/>
    <n v="51.201659999999997"/>
    <n v="25.131136000000001"/>
    <n v="26.070523999999999"/>
    <n v="2.4764841999999998"/>
    <n v="2.4764841999999998"/>
    <n v="0"/>
    <n v="1.6023311"/>
    <n v="1.6263311"/>
    <n v="-2.4E-2"/>
    <n v="8.6886602999999996E-3"/>
    <n v="2.0917025000000001E-3"/>
    <n v="1.2318813000000001E-3"/>
    <s v="3,3591715E-7"/>
    <n v="0"/>
    <n v="0"/>
    <n v="6"/>
    <n v="563.21825999999999"/>
    <n v="276.44249600000001"/>
    <n v="286.77576399999998"/>
    <n v="27.2413262"/>
    <n v="27.2413262"/>
    <n v="0"/>
    <n v="17.757642100000002"/>
    <n v="17.8896421"/>
    <n v="-0.13200000000000001"/>
    <n v="9.5575263300000005E-2"/>
    <n v="2.3008727499999999E-2"/>
    <n v="1.3550694300000001E-2"/>
    <s v="3,69508865E-6"/>
    <n v="34.476917456667003"/>
    <n v="160.71530899845001"/>
    <n v="1.4482884805825"/>
    <n v="0.71085849116517996"/>
    <n v="0.73742998941732996"/>
    <n v="7.0049751105815003E-2"/>
    <n v="7.0049751105815003E-2"/>
    <n v="0"/>
    <n v="4.5662916709654999E-2"/>
    <n v="4.6002348317282997E-2"/>
    <n v="-3.3943160762736998E-4"/>
    <n v="2.4576716114643E-4"/>
    <s v="5,9165828521099E-5"/>
    <s v="3,4844954172091E-5"/>
    <s v="9,501741521175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9"/>
    <m/>
    <n v="0.2"/>
    <m/>
    <m/>
    <m/>
    <m/>
    <m/>
    <m/>
    <x v="2"/>
    <x v="1"/>
    <n v="1"/>
    <n v="0.2"/>
    <n v="2325"/>
    <n v="465"/>
    <m/>
    <n v="465"/>
    <n v="38023.050000000003"/>
    <n v="1.1957249814146"/>
    <s v="m²"/>
    <s v="kg"/>
    <n v="30358"/>
    <s v="Bauteile aus dem Energieausweis"/>
    <n v="7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s v="2,098579968E-6"/>
    <n v="60.385712509999998"/>
    <n v="160.71530899845001"/>
    <n v="1.8725111799477001"/>
    <n v="1.8725111799477001"/>
    <n v="0"/>
    <n v="5.6768192584365003E-2"/>
    <n v="5.6768192584365003E-2"/>
    <n v="0"/>
    <n v="0.18284108099006"/>
    <n v="0.18284108099006"/>
    <n v="0"/>
    <n v="4.6791286940014E-4"/>
    <n v="2.9481918301431999E-4"/>
    <s v="9,2298854301505E-5"/>
    <s v="5,3963967596427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m/>
    <x v="8"/>
    <m/>
    <n v="1E-3"/>
    <m/>
    <m/>
    <m/>
    <m/>
    <m/>
    <m/>
    <x v="2"/>
    <x v="1"/>
    <n v="1"/>
    <n v="1E-3"/>
    <n v="1000"/>
    <n v="1"/>
    <m/>
    <n v="1"/>
    <n v="81.77"/>
    <n v="2.5714515729346001E-3"/>
    <s v="m²"/>
    <s v="kg"/>
    <n v="30358"/>
    <s v="Bauteile aus dem Energieausweis"/>
    <n v="8"/>
    <n v="1"/>
    <s v="ja"/>
    <n v="0"/>
    <n v="5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.20903325266667"/>
    <n v="160.71530899845001"/>
    <n v="7.8875548394989007E-3"/>
    <n v="7.8875548394989007E-3"/>
    <n v="0"/>
    <n v="4.9754733625039004E-4"/>
    <n v="4.9754733625039004E-4"/>
    <n v="0"/>
    <n v="4.0591684804882001E-4"/>
    <n v="4.1877410591349001E-4"/>
    <n v="-1.2857257864673E-5"/>
    <s v="1,5521068778043E-6"/>
    <s v="7,011824120417E-7"/>
    <s v="1,4165350908357E-7"/>
    <s v="4,3359926995241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6"/>
    <x v="5"/>
    <n v="114"/>
    <s v="opake Bauteile"/>
    <s v="nein"/>
    <n v="81.77"/>
    <m/>
    <n v="2142685464"/>
    <x v="7"/>
    <m/>
    <n v="2E-3"/>
    <m/>
    <m/>
    <m/>
    <m/>
    <m/>
    <m/>
    <x v="2"/>
    <x v="1"/>
    <n v="1"/>
    <n v="2E-3"/>
    <n v="1300"/>
    <n v="2.6"/>
    <m/>
    <n v="2.6"/>
    <n v="212.602"/>
    <n v="6.6857740896299998E-3"/>
    <s v="m²"/>
    <s v="kg"/>
    <n v="30358"/>
    <s v="Bauteile aus dem Energieausweis"/>
    <n v="9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160.71530899845001"/>
    <n v="2.7856271058668999E-2"/>
    <n v="2.7856271058668999E-2"/>
    <n v="0"/>
    <n v="4.3385069825857001E-3"/>
    <n v="4.3385069825857001E-3"/>
    <n v="0"/>
    <n v="2.3573135523379E-3"/>
    <n v="2.3706851005170998E-3"/>
    <n v="-1.337154817926E-5"/>
    <s v="6,5964742108471E-6"/>
    <s v="2,7258850343342E-6"/>
    <s v="8,6000001322865E-7"/>
    <s v="1,9948994008471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m/>
    <x v="26"/>
    <m/>
    <n v="9.5000000000000001E-2"/>
    <m/>
    <m/>
    <m/>
    <m/>
    <m/>
    <m/>
    <x v="2"/>
    <x v="1"/>
    <n v="1"/>
    <n v="9.5000000000000001E-2"/>
    <n v="1700"/>
    <n v="161.5"/>
    <m/>
    <n v="161.5"/>
    <n v="204557.51500000001"/>
    <n v="6.4327961807795999"/>
    <s v="m²"/>
    <s v="kg"/>
    <n v="30358"/>
    <s v="Bauteile aus dem Energieausweis"/>
    <n v="1"/>
    <n v="1"/>
    <s v="ja"/>
    <n v="0"/>
    <n v="50"/>
    <n v="50"/>
    <s v="Sekundärkonstruktion"/>
    <m/>
    <m/>
    <n v="2"/>
    <m/>
    <n v="1"/>
    <m/>
    <n v="100"/>
    <n v="0"/>
    <n v="0"/>
    <m/>
    <n v="0.30813686000000001"/>
    <n v="0.30813686000000001"/>
    <n v="0"/>
    <n v="3.1284692000000001E-3"/>
    <n v="3.1284692000000001E-3"/>
    <n v="0"/>
    <n v="2.1635005999999998E-2"/>
    <n v="2.1635005999999998E-2"/>
    <n v="0"/>
    <s v="6,8032023E-5"/>
    <s v="1,4694027E-5"/>
    <s v="6,8277963E-6"/>
    <s v="2,5662177E-9"/>
    <n v="0"/>
    <n v="0"/>
    <n v="6"/>
    <n v="49.764102889999997"/>
    <n v="49.764102889999997"/>
    <n v="0"/>
    <n v="0.50524777580000002"/>
    <n v="0.50524777580000002"/>
    <n v="0"/>
    <n v="3.4940534689999998"/>
    <n v="3.4940534689999998"/>
    <n v="0"/>
    <n v="1.09871717145E-2"/>
    <n v="2.3730853605000001E-3"/>
    <n v="1.1026891024500001E-3"/>
    <s v="4,1444415855E-7"/>
    <n v="3.7061019031"/>
    <n v="112.79012359133"/>
    <n v="1.9821816161654"/>
    <n v="1.9821816161654"/>
    <n v="0"/>
    <n v="2.0124804721446999E-2"/>
    <n v="2.0124804721446999E-2"/>
    <n v="0"/>
    <n v="0.13917358396794"/>
    <n v="0.13917358396794"/>
    <n v="0"/>
    <n v="4.3763613772511E-4"/>
    <s v="9,4523680765873E-5"/>
    <s v="4,3921821961781E-5"/>
    <s v="1,6507955419609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m/>
    <x v="20"/>
    <m/>
    <n v="5.0000000000000001E-3"/>
    <m/>
    <m/>
    <m/>
    <m/>
    <m/>
    <m/>
    <x v="2"/>
    <x v="1"/>
    <n v="1"/>
    <n v="5.0000000000000001E-3"/>
    <n v="300"/>
    <n v="1.5"/>
    <m/>
    <n v="1.5"/>
    <n v="1899.915"/>
    <n v="5.9747332948417997E-2"/>
    <s v="m²"/>
    <s v="kg"/>
    <n v="30358"/>
    <s v="Bauteile aus dem Energieausweis"/>
    <n v="2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s v="1,17350622E-7"/>
    <n v="13.354356340000001"/>
    <n v="112.79012359133"/>
    <n v="10.275155487487"/>
    <n v="5.2002170268487999"/>
    <n v="5.0749384606385997"/>
    <n v="0.15561514307067001"/>
    <n v="0.15561514307067001"/>
    <n v="0"/>
    <n v="0.34098907044374999"/>
    <n v="0.34224376443566001"/>
    <n v="-1.2546939919168001E-3"/>
    <n v="9.9441066286241994E-4"/>
    <n v="1.9196348462289999E-4"/>
    <n v="2.9617264379700999E-4"/>
    <s v="4,674257789558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m/>
    <x v="27"/>
    <m/>
    <n v="4.0000000000000001E-3"/>
    <m/>
    <m/>
    <m/>
    <m/>
    <m/>
    <m/>
    <x v="2"/>
    <x v="1"/>
    <n v="1"/>
    <n v="4.0000000000000001E-3"/>
    <n v="45"/>
    <n v="0.18"/>
    <m/>
    <n v="0.18"/>
    <n v="227.9898"/>
    <n v="7.1696799538101003E-3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98.257606999999993"/>
    <n v="75.307607000000004"/>
    <n v="22.95"/>
    <n v="5.7083662999999998"/>
    <n v="5.7083662999999998"/>
    <n v="0"/>
    <n v="5.5952704000000004"/>
    <n v="5.6032704000000004"/>
    <n v="-8.0000000000000002E-3"/>
    <n v="2.3853676000000001E-2"/>
    <n v="1.510738E-2"/>
    <n v="1.3843524000000001E-3"/>
    <s v="3,6442894E-7"/>
    <n v="0"/>
    <n v="0"/>
    <n v="6"/>
    <n v="35.372738519999999"/>
    <n v="27.110738520000002"/>
    <n v="8.2620000000000005"/>
    <n v="2.0550118679999998"/>
    <n v="2.0550118679999998"/>
    <n v="0"/>
    <n v="2.0157373440000002"/>
    <n v="2.0171773439999998"/>
    <n v="-1.4400000000000001E-3"/>
    <n v="8.5873233599999994E-3"/>
    <n v="5.4386568000000003E-3"/>
    <n v="4.98366864E-4"/>
    <s v="1,311944184E-7"/>
    <n v="2.6600239559999999"/>
    <n v="112.79012359133"/>
    <n v="1.4089511904345"/>
    <n v="1.0798628805546"/>
    <n v="0.32908830987988003"/>
    <n v="8.1854318860229994E-2"/>
    <n v="8.1854318860229994E-2"/>
    <n v="0"/>
    <n v="8.0289953485685003E-2"/>
    <n v="8.0347310925314996E-2"/>
    <n v="-5.7357439630480999E-5"/>
    <n v="3.4204644528375999E-4"/>
    <n v="2.1663015908118E-4"/>
    <s v="1,9850727302578E-5"/>
    <s v="5,2256777314125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m/>
    <x v="21"/>
    <m/>
    <n v="0.01"/>
    <m/>
    <m/>
    <m/>
    <m/>
    <m/>
    <m/>
    <x v="2"/>
    <x v="1"/>
    <n v="1"/>
    <n v="0.01"/>
    <n v="1100"/>
    <n v="11"/>
    <m/>
    <n v="11"/>
    <n v="13932.71"/>
    <n v="0.43814710828839998"/>
    <s v="m²"/>
    <s v="kg"/>
    <n v="30358"/>
    <s v="Bauteile aus dem Energieausweis"/>
    <n v="4"/>
    <n v="1"/>
    <s v="ja"/>
    <n v="1"/>
    <n v="25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s v="3,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s v="6,9587837E-6"/>
    <n v="49.843088936667002"/>
    <n v="112.79012359133"/>
    <n v="36.450370160791003"/>
    <n v="15.106822445317"/>
    <n v="21.343547715473999"/>
    <n v="0.58216950661905997"/>
    <n v="0.58216950661905997"/>
    <n v="0"/>
    <n v="0.72118136853758996"/>
    <n v="0.72205766275417005"/>
    <n v="-8.7629421657679004E-4"/>
    <n v="4.8758888985133003E-3"/>
    <n v="1.5906632826376999E-3"/>
    <n v="9.9728231884168997E-4"/>
    <s v="2,7717917775995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36129"/>
    <x v="28"/>
    <m/>
    <n v="0.08"/>
    <m/>
    <m/>
    <m/>
    <m/>
    <m/>
    <m/>
    <x v="2"/>
    <x v="1"/>
    <n v="1"/>
    <n v="0.08"/>
    <n v="30"/>
    <n v="2.4"/>
    <m/>
    <n v="2.4"/>
    <n v="3039.864"/>
    <n v="9.5595732717468004E-2"/>
    <s v="m²"/>
    <s v="kg"/>
    <n v="30358"/>
    <s v="Bauteile aus dem Energieausweis"/>
    <n v="5"/>
    <n v="1"/>
    <s v="ja"/>
    <n v="0"/>
    <n v="50"/>
    <n v="50"/>
    <s v="Sekundärkonstruktion"/>
    <m/>
    <m/>
    <n v="5"/>
    <m/>
    <n v="4"/>
    <m/>
    <n v="0"/>
    <n v="100"/>
    <n v="0"/>
    <m/>
    <n v="94.039664000000002"/>
    <n v="63.369664"/>
    <n v="30.67"/>
    <n v="2.2950843999999999"/>
    <n v="2.2950843999999999"/>
    <n v="0"/>
    <n v="4.3072961000000003"/>
    <n v="4.3072961000000003"/>
    <n v="0"/>
    <n v="1.7704617999999998E-2"/>
    <n v="3.8300106000000002E-3"/>
    <n v="3.5497072000000001E-3"/>
    <s v="2,2388164E-8"/>
    <n v="0"/>
    <n v="0"/>
    <n v="6"/>
    <n v="225.69519360000001"/>
    <n v="152.08719360000001"/>
    <n v="73.608000000000004"/>
    <n v="5.50820256"/>
    <n v="5.50820256"/>
    <n v="0"/>
    <n v="10.33751064"/>
    <n v="10.33751064"/>
    <n v="0"/>
    <n v="4.2491083200000002E-2"/>
    <n v="9.1920254399999995E-3"/>
    <n v="8.5192972799999992E-3"/>
    <s v="5,37315936E-8"/>
    <n v="14.91156932"/>
    <n v="112.79012359133"/>
    <n v="8.9897905845844992"/>
    <n v="6.0578694621398004"/>
    <n v="2.9319211224447002"/>
    <n v="0.21940027486642999"/>
    <n v="0.21940027486642999"/>
    <n v="0"/>
    <n v="0.41175912671059001"/>
    <n v="0.41175912671059001"/>
    <n v="0"/>
    <n v="1.6924859301929E-3"/>
    <n v="3.6613266962267E-4"/>
    <n v="3.3933686071647003E-4"/>
    <s v="2,140212941778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36129"/>
    <x v="28"/>
    <m/>
    <n v="0.08"/>
    <m/>
    <m/>
    <m/>
    <m/>
    <m/>
    <m/>
    <x v="2"/>
    <x v="1"/>
    <n v="1"/>
    <n v="0.08"/>
    <n v="30"/>
    <n v="2.4"/>
    <m/>
    <n v="2.4"/>
    <n v="3039.864"/>
    <n v="9.5595732717468004E-2"/>
    <s v="m²"/>
    <s v="kg"/>
    <n v="30358"/>
    <s v="Bauteile aus dem Energieausweis"/>
    <n v="6"/>
    <n v="1"/>
    <s v="ja"/>
    <n v="0"/>
    <n v="50"/>
    <n v="50"/>
    <s v="Sekundärkonstruktion"/>
    <m/>
    <m/>
    <n v="5"/>
    <m/>
    <n v="4"/>
    <m/>
    <n v="0"/>
    <n v="100"/>
    <n v="0"/>
    <m/>
    <n v="94.039664000000002"/>
    <n v="63.369664"/>
    <n v="30.67"/>
    <n v="2.2950843999999999"/>
    <n v="2.2950843999999999"/>
    <n v="0"/>
    <n v="4.3072961000000003"/>
    <n v="4.3072961000000003"/>
    <n v="0"/>
    <n v="1.7704617999999998E-2"/>
    <n v="3.8300106000000002E-3"/>
    <n v="3.5497072000000001E-3"/>
    <s v="2,2388164E-8"/>
    <n v="0"/>
    <n v="0"/>
    <n v="6"/>
    <n v="225.69519360000001"/>
    <n v="152.08719360000001"/>
    <n v="73.608000000000004"/>
    <n v="5.50820256"/>
    <n v="5.50820256"/>
    <n v="0"/>
    <n v="10.33751064"/>
    <n v="10.33751064"/>
    <n v="0"/>
    <n v="4.2491083200000002E-2"/>
    <n v="9.1920254399999995E-3"/>
    <n v="8.5192972799999992E-3"/>
    <s v="5,37315936E-8"/>
    <n v="14.91156932"/>
    <n v="112.79012359133"/>
    <n v="8.9897905845844992"/>
    <n v="6.0578694621398004"/>
    <n v="2.9319211224447002"/>
    <n v="0.21940027486642999"/>
    <n v="0.21940027486642999"/>
    <n v="0"/>
    <n v="0.41175912671059001"/>
    <n v="0.41175912671059001"/>
    <n v="0"/>
    <n v="1.6924859301929E-3"/>
    <n v="3.6613266962267E-4"/>
    <n v="3.3933686071647003E-4"/>
    <s v="2,140212941778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17830"/>
    <x v="29"/>
    <m/>
    <n v="0.12"/>
    <m/>
    <m/>
    <m/>
    <m/>
    <m/>
    <m/>
    <x v="2"/>
    <x v="1"/>
    <n v="1"/>
    <n v="0.12"/>
    <n v="166"/>
    <n v="19.920000000000002"/>
    <m/>
    <n v="19.920000000000002"/>
    <n v="25230.871200000001"/>
    <n v="0.79344458155497999"/>
    <s v="m²"/>
    <s v="kg"/>
    <n v="30358"/>
    <s v="Bauteile aus dem Energieausweis"/>
    <n v="7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425.15405399999997"/>
    <n v="425.15405399999997"/>
    <n v="0"/>
    <n v="15.631175793600001"/>
    <n v="15.631175793600001"/>
    <n v="0"/>
    <n v="34.679347512"/>
    <n v="34.679347512"/>
    <n v="0"/>
    <n v="0.235241754"/>
    <n v="6.1953100368000003E-2"/>
    <n v="0.100859579448"/>
    <s v="1,3965912E-6"/>
    <n v="51.317260251999997"/>
    <n v="112.79012359133"/>
    <n v="16.934547212472001"/>
    <n v="16.934547212472001"/>
    <n v="0"/>
    <n v="0.62261404301030998"/>
    <n v="0.62261404301030998"/>
    <n v="0"/>
    <n v="1.3813323481555999"/>
    <n v="1.3813323481555999"/>
    <n v="0"/>
    <n v="9.3700449330717996E-3"/>
    <n v="2.4676883432491001E-3"/>
    <n v="4.0173939162112997E-3"/>
    <s v="5,56283996128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32300"/>
    <x v="30"/>
    <m/>
    <n v="1E-3"/>
    <m/>
    <m/>
    <m/>
    <m/>
    <m/>
    <m/>
    <x v="2"/>
    <x v="1"/>
    <n v="1"/>
    <n v="1E-3"/>
    <n v="300"/>
    <n v="0.3"/>
    <m/>
    <n v="0.3"/>
    <n v="379.983"/>
    <n v="1.1949466589682999E-2"/>
    <s v="m²"/>
    <s v="kg"/>
    <n v="30358"/>
    <s v="Bauteile aus dem Energieausweis"/>
    <n v="8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112.79012359133"/>
    <n v="2.0550310974974999"/>
    <n v="1.0400434053698"/>
    <n v="1.0149876921276999"/>
    <n v="3.1123028614132998E-2"/>
    <n v="3.1123028614132998E-2"/>
    <n v="0"/>
    <n v="6.8197814088750003E-2"/>
    <n v="6.8448752887132994E-2"/>
    <n v="-2.5093879838335002E-4"/>
    <n v="1.9888213257248001E-4"/>
    <s v="3,8392696924579E-5"/>
    <s v="5,9234528759401E-5"/>
    <s v="9,3485155791172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04059"/>
    <x v="31"/>
    <m/>
    <n v="0.24"/>
    <m/>
    <m/>
    <m/>
    <m/>
    <m/>
    <m/>
    <x v="2"/>
    <x v="1"/>
    <n v="1"/>
    <n v="0.24"/>
    <n v="475"/>
    <n v="114"/>
    <m/>
    <n v="114"/>
    <n v="144393.54"/>
    <n v="4.5407973040796996"/>
    <s v="m²"/>
    <s v="kg"/>
    <n v="30358"/>
    <s v="Bauteile aus dem Energieausweis"/>
    <n v="9"/>
    <n v="1"/>
    <s v="ja"/>
    <n v="0"/>
    <n v="50"/>
    <n v="50"/>
    <s v="Sekundärkonstruktion"/>
    <m/>
    <m/>
    <n v="1"/>
    <m/>
    <n v="1"/>
    <m/>
    <n v="0"/>
    <n v="100"/>
    <n v="0"/>
    <m/>
    <n v="2.1404299189999998"/>
    <n v="1.790871468"/>
    <n v="0.34955845099999999"/>
    <n v="17.769736464000001"/>
    <n v="1.7885062140000001"/>
    <n v="15.981230249999999"/>
    <n v="-1.5060725230000001"/>
    <n v="0.11415136400000001"/>
    <n v="-1.6202238870000001"/>
    <n v="4.83063691E-4"/>
    <m/>
    <m/>
    <m/>
    <n v="0"/>
    <n v="0"/>
    <n v="6"/>
    <n v="244.00901076599999"/>
    <n v="204.159347352"/>
    <n v="39.849663413999998"/>
    <n v="2025.749956896"/>
    <n v="203.889708396"/>
    <n v="1821.8602484999999"/>
    <n v="-171.692267622"/>
    <n v="13.013255495999999"/>
    <n v="-184.705523118"/>
    <n v="5.5069260773999998E-2"/>
    <m/>
    <m/>
    <m/>
    <n v="-13.1391761416"/>
    <n v="112.79012359133"/>
    <n v="9.7192584057667997"/>
    <n v="8.1319843338477007"/>
    <n v="1.5872740719191001"/>
    <n v="80.688771429938001"/>
    <n v="8.1212441948609992"/>
    <n v="72.567527235076994"/>
    <n v="-6.8387700521869998"/>
    <n v="0.51833820590822"/>
    <n v="-7.3571082580951996"/>
    <n v="2.1934943057916002E-3"/>
    <m/>
    <m/>
    <m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710458"/>
    <x v="11"/>
    <m/>
    <n v="1.7999999999999999E-2"/>
    <m/>
    <m/>
    <m/>
    <m/>
    <m/>
    <m/>
    <x v="2"/>
    <x v="1"/>
    <n v="1"/>
    <n v="1.7999999999999999E-2"/>
    <n v="1050"/>
    <n v="18.899999999999999"/>
    <m/>
    <n v="18.899999999999999"/>
    <n v="23938.929"/>
    <n v="0.75281639515006005"/>
    <s v="m²"/>
    <s v="kg"/>
    <n v="30358"/>
    <s v="Bauteile aus dem Energieausweis"/>
    <n v="10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112.79012359133"/>
    <n v="4.0660486769073003"/>
    <n v="4.0660486769073003"/>
    <n v="0"/>
    <n v="2.4329320009298998"/>
    <n v="2.4329320009298998"/>
    <n v="0"/>
    <n v="6.3600300433921994E-2"/>
    <n v="0.28342268781773999"/>
    <n v="-0.21982238738382001"/>
    <n v="1.1785101270461E-3"/>
    <n v="3.6529908176406001E-4"/>
    <s v="9,9611950230681E-5"/>
    <s v="2,9020797255051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m/>
    <x v="8"/>
    <m/>
    <n v="2E-3"/>
    <m/>
    <m/>
    <m/>
    <m/>
    <m/>
    <m/>
    <x v="2"/>
    <x v="1"/>
    <n v="1"/>
    <n v="2E-3"/>
    <n v="1000"/>
    <n v="2"/>
    <m/>
    <n v="2"/>
    <n v="2533.2199999999998"/>
    <n v="7.9663110597889997E-2"/>
    <s v="m²"/>
    <s v="kg"/>
    <n v="30358"/>
    <s v="Bauteile aus dem Energieausweis"/>
    <n v="11"/>
    <n v="1"/>
    <s v="ja"/>
    <n v="0"/>
    <n v="5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s v="5,5086983E-5"/>
    <s v="1,6862043E-8"/>
    <n v="0"/>
    <n v="0"/>
    <n v="6"/>
    <n v="6.1347100000000001"/>
    <n v="6.1347100000000001"/>
    <n v="0"/>
    <n v="0.38697779999999998"/>
    <n v="0.38697779999999998"/>
    <n v="0"/>
    <n v="0.31571028000000001"/>
    <n v="0.32571028000000002"/>
    <n v="-0.01"/>
    <n v="1.2071834400000001E-3"/>
    <n v="5.4535922000000002E-4"/>
    <n v="1.1017396600000001E-4"/>
    <s v="3,3724086E-8"/>
    <n v="0.41806650533333001"/>
    <n v="112.79012359133"/>
    <n v="0.24435504060798999"/>
    <n v="0.24435504060798999"/>
    <n v="0"/>
    <n v="1.5413927640164001E-2"/>
    <n v="1.5413927640164001E-2"/>
    <n v="0"/>
    <n v="1.2575231476265001E-2"/>
    <n v="1.2973547029255E-2"/>
    <n v="-3.9831555298945002E-4"/>
    <s v="4,8083993946331E-5"/>
    <s v="2,172250592922E-5"/>
    <s v="4,3884004192331E-6"/>
    <s v="1,343282796415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6"/>
    <x v="6"/>
    <n v="114"/>
    <s v="opake Bauteile"/>
    <s v="nein"/>
    <n v="1266.6099999999999"/>
    <m/>
    <n v="2142685464"/>
    <x v="7"/>
    <m/>
    <n v="2E-3"/>
    <m/>
    <m/>
    <m/>
    <m/>
    <m/>
    <m/>
    <x v="2"/>
    <x v="1"/>
    <n v="1"/>
    <n v="2E-3"/>
    <n v="1300"/>
    <n v="2.6"/>
    <m/>
    <n v="2.6"/>
    <n v="3293.1860000000001"/>
    <n v="0.10356204377726"/>
    <s v="m²"/>
    <s v="kg"/>
    <n v="30358"/>
    <s v="Bauteile aus dem Energieausweis"/>
    <n v="12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112.79012359133"/>
    <n v="0.43149115183589998"/>
    <n v="0.43149115183589998"/>
    <n v="0"/>
    <n v="6.7203085840930002E-2"/>
    <n v="6.7203085840930002E-2"/>
    <n v="0"/>
    <n v="3.6514576477029E-2"/>
    <n v="3.6721700564583001E-2"/>
    <n v="-2.0712408755450999E-4"/>
    <n v="1.0217879662714E-4"/>
    <s v="4,2223715829009E-5"/>
    <s v="1,3321323428587E-5"/>
    <s v="3,090081362488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m/>
    <x v="32"/>
    <m/>
    <n v="3.0000000000000001E-3"/>
    <m/>
    <m/>
    <m/>
    <m/>
    <m/>
    <m/>
    <x v="2"/>
    <x v="1"/>
    <n v="1"/>
    <n v="3.0000000000000001E-3"/>
    <n v="1300"/>
    <n v="3.9"/>
    <m/>
    <n v="3.9"/>
    <n v="58500"/>
    <n v="1.8396712365987"/>
    <s v="m²"/>
    <s v="kg"/>
    <n v="30358"/>
    <s v="Bauteile aus dem Energieausweis"/>
    <n v="1"/>
    <n v="1"/>
    <s v="ja"/>
    <n v="1"/>
    <n v="25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s v="4,7952013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s v="3,740257014E-6"/>
    <n v="38.121884059999999"/>
    <n v="115.58138194876"/>
    <n v="275.51756801123003"/>
    <n v="222.93659983470999"/>
    <n v="52.580968176517999"/>
    <n v="12.243561773330001"/>
    <n v="12.243561773330001"/>
    <n v="0"/>
    <n v="14.660024396871"/>
    <n v="14.660024396871"/>
    <n v="0"/>
    <n v="4.7664295943666002E-2"/>
    <n v="1.8262942143755002E-2"/>
    <n v="8.6077529123411E-3"/>
    <s v="1,7643187810621E-6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n v="2142707274"/>
    <x v="33"/>
    <m/>
    <n v="7.0000000000000007E-2"/>
    <m/>
    <m/>
    <m/>
    <m/>
    <m/>
    <m/>
    <x v="2"/>
    <x v="1"/>
    <n v="1"/>
    <n v="7.0000000000000007E-2"/>
    <n v="2000"/>
    <n v="140"/>
    <m/>
    <n v="140"/>
    <n v="2100000"/>
    <n v="66.039480288158998"/>
    <s v="m²"/>
    <s v="kg"/>
    <n v="30358"/>
    <s v="Bauteile aus dem Energieausweis"/>
    <n v="2"/>
    <n v="1"/>
    <s v="ja"/>
    <n v="0"/>
    <n v="5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s v="4,8205521E-5"/>
    <s v="4,8452447E-9"/>
    <n v="1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s v="6,78334258E-7"/>
    <n v="15.661883533333"/>
    <n v="115.58138194876"/>
    <n v="88.375458974387996"/>
    <n v="88.375458974387996"/>
    <n v="0"/>
    <n v="8.1844636462094993"/>
    <n v="8.1844636462094993"/>
    <n v="0"/>
    <n v="9.9839714633971006"/>
    <n v="9.9839714633971006"/>
    <n v="0"/>
    <n v="2.0835241402603E-2"/>
    <n v="1.3472900604922001E-2"/>
    <n v="3.1834675538598999E-3"/>
    <s v="3,1997744185695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n v="2142719798"/>
    <x v="34"/>
    <m/>
    <n v="8.8000000000000005E-3"/>
    <m/>
    <m/>
    <m/>
    <m/>
    <m/>
    <m/>
    <x v="2"/>
    <x v="1"/>
    <n v="1"/>
    <n v="8.8000000000000005E-3"/>
    <n v="300"/>
    <n v="2.64"/>
    <m/>
    <n v="2.64"/>
    <n v="39600"/>
    <n v="1.2453159140053001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115.58138194876"/>
    <n v="214.16545335160001"/>
    <n v="108.38831961599"/>
    <n v="105.77713373560999"/>
    <n v="3.2434922960228998"/>
    <n v="3.2434922960228998"/>
    <n v="0"/>
    <n v="7.1072480556090003"/>
    <n v="7.1333996898030998"/>
    <n v="-2.6151634194111002E-2"/>
    <n v="2.0726538950084999E-2"/>
    <n v="4.0011021498681E-3"/>
    <n v="6.1731375847663998E-3"/>
    <s v="9,7425731396678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n v="2142718134"/>
    <x v="35"/>
    <m/>
    <n v="0.03"/>
    <m/>
    <m/>
    <m/>
    <m/>
    <m/>
    <m/>
    <x v="2"/>
    <x v="1"/>
    <n v="1"/>
    <n v="0.03"/>
    <n v="11"/>
    <n v="0.33"/>
    <m/>
    <n v="0.33"/>
    <n v="4950"/>
    <n v="0.15566448925066001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s v="4,354548E-8"/>
    <n v="1.9747659744999999"/>
    <n v="115.58138194876"/>
    <n v="15.394520609978001"/>
    <n v="9.1679410399519998"/>
    <n v="6.2265795700264004"/>
    <n v="0.14933791392602999"/>
    <n v="0.14933791392602999"/>
    <n v="0"/>
    <n v="0.65462843877008003"/>
    <n v="0.65462843877008003"/>
    <n v="0"/>
    <n v="2.3194692265456002E-3"/>
    <n v="4.0652707571520999E-4"/>
    <n v="1.4224171624344999E-3"/>
    <s v="2,05408633435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n v="2142732302"/>
    <x v="36"/>
    <m/>
    <n v="1E-3"/>
    <m/>
    <m/>
    <m/>
    <m/>
    <m/>
    <m/>
    <x v="2"/>
    <x v="1"/>
    <n v="1"/>
    <n v="1E-3"/>
    <n v="300"/>
    <n v="0.3"/>
    <m/>
    <n v="0.3"/>
    <n v="4500"/>
    <n v="0.14151317204604999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115.58138194876"/>
    <n v="24.336983335408998"/>
    <n v="12.316854501817"/>
    <n v="12.020128833592"/>
    <n v="0.36857867000259997"/>
    <n v="0.36857867000259997"/>
    <n v="0"/>
    <n v="0.80764182450101996"/>
    <n v="0.81061360111398995"/>
    <n v="-2.9717766129671E-3"/>
    <n v="2.3552885170552E-3"/>
    <n v="4.5467069884865002E-4"/>
    <n v="7.0149290735982005E-4"/>
    <s v="1,107110584053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m/>
    <x v="37"/>
    <m/>
    <n v="0.10199999999999999"/>
    <m/>
    <m/>
    <m/>
    <m/>
    <m/>
    <m/>
    <x v="2"/>
    <x v="1"/>
    <n v="1"/>
    <n v="0.10199999999999999"/>
    <n v="1800"/>
    <n v="183.6"/>
    <m/>
    <n v="183.6"/>
    <n v="2754000"/>
    <n v="86.606061292185004"/>
    <s v="m²"/>
    <s v="kg"/>
    <n v="30358"/>
    <s v="Bauteile aus dem Energieausweis"/>
    <n v="6"/>
    <n v="1"/>
    <s v="ja"/>
    <n v="0"/>
    <n v="5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s v="6,7317382E-5"/>
    <s v="2,8679227E-5"/>
    <s v="8,6913224E-6"/>
    <s v="9,460633E-10"/>
    <n v="0"/>
    <n v="0"/>
    <n v="6"/>
    <n v="35.315289251999999"/>
    <n v="35.315289251999999"/>
    <n v="0"/>
    <n v="1.040166063"/>
    <n v="1.040166063"/>
    <n v="0"/>
    <n v="3.7220265935999999"/>
    <n v="3.7220265935999999"/>
    <n v="0"/>
    <n v="1.23594713352E-2"/>
    <n v="5.2655060772000004E-3"/>
    <n v="1.5957267926400001E-3"/>
    <s v="1,7369722188E-7"/>
    <n v="3.4454435853600001"/>
    <n v="115.58138194876"/>
    <n v="16.658595345915"/>
    <n v="16.658595345915"/>
    <n v="0"/>
    <n v="0.49065733009929002"/>
    <n v="0.49065733009929002"/>
    <n v="0"/>
    <n v="1.7557192990004"/>
    <n v="1.7557192990004"/>
    <n v="0"/>
    <n v="5.8300933115214004E-3"/>
    <n v="2.4837948913744999E-3"/>
    <n v="7.5272120048454003E-4"/>
    <s v="8,193481614608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5"/>
    <x v="7"/>
    <n v="114"/>
    <s v="opake Bauteile"/>
    <s v="nein"/>
    <n v="15000"/>
    <m/>
    <m/>
    <x v="5"/>
    <m/>
    <n v="0.22"/>
    <m/>
    <m/>
    <m/>
    <m/>
    <m/>
    <m/>
    <x v="2"/>
    <x v="1"/>
    <n v="1"/>
    <n v="0.22"/>
    <n v="475"/>
    <n v="104.5"/>
    <m/>
    <n v="104.5"/>
    <n v="1567500"/>
    <n v="49.293754929374998"/>
    <s v="m²"/>
    <s v="kg"/>
    <n v="30358"/>
    <s v="Bauteile aus dem Energieausweis"/>
    <n v="7"/>
    <n v="1"/>
    <s v="ja"/>
    <n v="0"/>
    <n v="5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s v="4,4077E-8"/>
    <n v="1"/>
    <n v="0"/>
    <n v="6"/>
    <n v="961.62811305000002"/>
    <n v="922.58482304999995"/>
    <n v="39.043289999999999"/>
    <n v="1848.0000494999999"/>
    <n v="66.183089499999994"/>
    <n v="1781.8169600000001"/>
    <n v="-33.992611674999999"/>
    <n v="53.311913324999999"/>
    <n v="-87.304524999999998"/>
    <n v="0.30110523410000001"/>
    <n v="0.14425701455000001"/>
    <n v="0.1086000993"/>
    <s v="4,6060465E-6"/>
    <n v="66.536199702499999"/>
    <n v="115.58138194876"/>
    <n v="453.61014868788999"/>
    <n v="435.19301597117999"/>
    <n v="18.417132716712999"/>
    <n v="871.72116315336996"/>
    <n v="31.219263103176001"/>
    <n v="840.50190005018999"/>
    <n v="-16.03467434753"/>
    <n v="25.147793208216999"/>
    <n v="-41.182467555747003"/>
    <n v="0.14203452265720001"/>
    <n v="6.8047559062881E-2"/>
    <n v="5.1227815121532003E-2"/>
    <s v="2,1727208360221E-6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m/>
    <x v="32"/>
    <m/>
    <n v="3.0000000000000001E-3"/>
    <m/>
    <m/>
    <m/>
    <m/>
    <m/>
    <m/>
    <x v="2"/>
    <x v="1"/>
    <n v="1"/>
    <n v="3.0000000000000001E-3"/>
    <n v="1300"/>
    <n v="3.9"/>
    <m/>
    <n v="3.9"/>
    <n v="24024.007799999999"/>
    <n v="0.75549189978603004"/>
    <s v="m²"/>
    <s v="kg"/>
    <n v="30358"/>
    <s v="Bauteile aus dem Energieausweis"/>
    <n v="1"/>
    <n v="1"/>
    <s v="ja"/>
    <n v="1"/>
    <n v="25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s v="4,7952013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s v="3,740257014E-6"/>
    <n v="38.121884059999999"/>
    <n v="109.67754512926"/>
    <n v="113.14591799895"/>
    <n v="91.552660057002001"/>
    <n v="21.593257941952"/>
    <n v="5.0280243340556998"/>
    <n v="5.0280243340556998"/>
    <n v="0"/>
    <n v="6.0203853069848998"/>
    <n v="6.0203853069848998"/>
    <n v="0"/>
    <n v="1.9574143889438001E-2"/>
    <n v="7.4999840087609003E-3"/>
    <n v="3.5349183437017998E-3"/>
    <s v="7,2454714799869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n v="2142707274"/>
    <x v="33"/>
    <m/>
    <n v="7.0000000000000007E-2"/>
    <m/>
    <m/>
    <m/>
    <m/>
    <m/>
    <m/>
    <x v="2"/>
    <x v="1"/>
    <n v="1"/>
    <n v="7.0000000000000007E-2"/>
    <n v="2000"/>
    <n v="140"/>
    <m/>
    <n v="140"/>
    <n v="862400.28"/>
    <n v="27.120222043601"/>
    <s v="m²"/>
    <s v="kg"/>
    <n v="30358"/>
    <s v="Bauteile aus dem Energieausweis"/>
    <n v="2"/>
    <n v="1"/>
    <s v="ja"/>
    <n v="0"/>
    <n v="5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s v="4,8205521E-5"/>
    <s v="4,8452447E-9"/>
    <n v="1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s v="6,78334258E-7"/>
    <n v="15.661883533333"/>
    <n v="109.67754512926"/>
    <n v="36.292866935543003"/>
    <n v="36.292866935543003"/>
    <n v="0"/>
    <n v="3.3610874953051999"/>
    <n v="3.3610874953051999"/>
    <n v="0"/>
    <n v="4.1000856121645999"/>
    <n v="4.1000856121645999"/>
    <n v="0"/>
    <n v="8.5563419140344994E-3"/>
    <n v="5.5328729781412003E-3"/>
    <n v="1.3073444332474999E-3"/>
    <s v="1,3140411211958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n v="2142719798"/>
    <x v="34"/>
    <m/>
    <n v="8.8000000000000005E-3"/>
    <m/>
    <m/>
    <m/>
    <m/>
    <m/>
    <m/>
    <x v="2"/>
    <x v="1"/>
    <n v="1"/>
    <n v="8.8000000000000005E-3"/>
    <n v="300"/>
    <n v="2.64"/>
    <m/>
    <n v="2.64"/>
    <n v="16262.405280000001"/>
    <n v="0.51140990139361997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109.67754512926"/>
    <n v="87.950641398450003"/>
    <n v="44.511484374075998"/>
    <n v="43.439157024373998"/>
    <n v="1.3319946020324001"/>
    <n v="1.3319946020324001"/>
    <n v="0"/>
    <n v="2.9187108158032"/>
    <n v="2.9294504237323999"/>
    <n v="-1.0739607929265999E-2"/>
    <n v="8.5117014257069992E-3"/>
    <n v="1.6431198163594999E-3"/>
    <n v="2.5351026578957002E-3"/>
    <s v="4,0009513350333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n v="2142718134"/>
    <x v="35"/>
    <m/>
    <n v="0.03"/>
    <m/>
    <m/>
    <m/>
    <m/>
    <m/>
    <m/>
    <x v="2"/>
    <x v="1"/>
    <n v="1"/>
    <n v="0.03"/>
    <n v="11"/>
    <n v="0.33"/>
    <m/>
    <n v="0.33"/>
    <n v="2032.8006600000001"/>
    <n v="6.3926237674202996E-2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s v="4,354548E-8"/>
    <n v="1.9747659744999999"/>
    <n v="109.67754512926"/>
    <n v="6.3220185164339"/>
    <n v="3.7649690094657999"/>
    <n v="2.5570495069681001"/>
    <n v="6.1328123230676997E-2"/>
    <n v="6.1328123230676997E-2"/>
    <n v="0"/>
    <n v="0.26883416613869998"/>
    <n v="0.26883416613869998"/>
    <n v="0"/>
    <n v="9.5252900496396004E-4"/>
    <n v="1.6694717329731999E-4"/>
    <n v="5.8413950436204997E-4"/>
    <s v="8,4354506185371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n v="2142732302"/>
    <x v="36"/>
    <m/>
    <n v="1E-3"/>
    <m/>
    <m/>
    <m/>
    <m/>
    <m/>
    <m/>
    <x v="2"/>
    <x v="1"/>
    <n v="1"/>
    <n v="1E-3"/>
    <n v="300"/>
    <n v="0.3"/>
    <m/>
    <n v="0.3"/>
    <n v="1848.0006000000001"/>
    <n v="5.8114761522001998E-2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109.67754512926"/>
    <n v="9.9943910680057009"/>
    <n v="5.0581232243267999"/>
    <n v="4.9362678436789"/>
    <n v="0.15136302295823001"/>
    <n v="0.15136302295823001"/>
    <n v="0"/>
    <n v="0.33167168361400001"/>
    <n v="0.33289209360596"/>
    <n v="-1.2204099919620999E-3"/>
    <n v="9.6723879837579E-4"/>
    <n v="1.8671816094994E-4"/>
    <n v="2.8807984748814997E-4"/>
    <s v="4,546535607992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m/>
    <x v="37"/>
    <m/>
    <n v="7.6999999999999999E-2"/>
    <m/>
    <m/>
    <m/>
    <m/>
    <m/>
    <m/>
    <x v="2"/>
    <x v="1"/>
    <n v="1"/>
    <n v="7.6999999999999999E-2"/>
    <n v="1800"/>
    <n v="138.6"/>
    <m/>
    <n v="138.6"/>
    <n v="853776.27720000001"/>
    <n v="26.849019823165001"/>
    <s v="m²"/>
    <s v="kg"/>
    <n v="30358"/>
    <s v="Bauteile aus dem Energieausweis"/>
    <n v="6"/>
    <n v="1"/>
    <s v="ja"/>
    <n v="0"/>
    <n v="5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s v="6,7317382E-5"/>
    <s v="2,8679227E-5"/>
    <s v="8,6913224E-6"/>
    <s v="9,460633E-10"/>
    <n v="0"/>
    <n v="0"/>
    <n v="6"/>
    <n v="26.659581102000001"/>
    <n v="26.659581102000001"/>
    <n v="0"/>
    <n v="0.78522340049999995"/>
    <n v="0.78522340049999995"/>
    <n v="0"/>
    <n v="2.8097651736000002"/>
    <n v="2.8097651736000002"/>
    <n v="0"/>
    <n v="9.3301891452000005E-3"/>
    <n v="3.9749408622000004E-3"/>
    <n v="1.20461728464E-3"/>
    <s v="1,3112437338E-7"/>
    <n v="2.6009721183600001"/>
    <n v="109.67754512926"/>
    <n v="5.1643839933973998"/>
    <n v="5.1643839933973998"/>
    <n v="0"/>
    <n v="0.15211023553851"/>
    <n v="0.15211023553851"/>
    <n v="0"/>
    <n v="0.54429610998863998"/>
    <n v="0.54429610998863998"/>
    <n v="0"/>
    <n v="1.8074057237615999E-3"/>
    <n v="7.7000913423605E-4"/>
    <n v="2.3335348740712001E-4"/>
    <s v="2,5400872295669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m/>
    <x v="9"/>
    <m/>
    <n v="0.2"/>
    <m/>
    <m/>
    <m/>
    <m/>
    <m/>
    <m/>
    <x v="2"/>
    <x v="1"/>
    <n v="1"/>
    <n v="0.2"/>
    <n v="2325"/>
    <n v="465"/>
    <m/>
    <n v="465"/>
    <n v="2864400.93"/>
    <n v="90.077880359104"/>
    <s v="m²"/>
    <s v="kg"/>
    <n v="30358"/>
    <s v="Bauteile aus dem Energieausweis"/>
    <n v="7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s v="2,098579968E-6"/>
    <n v="60.385712509999998"/>
    <n v="109.67754512926"/>
    <n v="141.06240202397001"/>
    <n v="141.06240202397001"/>
    <n v="0"/>
    <n v="4.2765339348914999"/>
    <n v="4.2765339348914999"/>
    <n v="0"/>
    <n v="13.774017666393"/>
    <n v="13.774017666393"/>
    <n v="0"/>
    <n v="3.5249409457386999E-2"/>
    <n v="2.2209694961556999E-2"/>
    <n v="6.9531750898248999E-3"/>
    <s v="4,0652824791724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384"/>
    <x v="8"/>
    <n v="114"/>
    <s v="opake Bauteile"/>
    <s v="nein"/>
    <n v="6160.0020000000004"/>
    <m/>
    <m/>
    <x v="38"/>
    <m/>
    <n v="4.0000000000000001E-3"/>
    <m/>
    <m/>
    <m/>
    <m/>
    <m/>
    <m/>
    <x v="2"/>
    <x v="1"/>
    <n v="1"/>
    <n v="4.0000000000000001E-3"/>
    <n v="1000"/>
    <n v="4"/>
    <m/>
    <n v="4"/>
    <n v="24640.008000000002"/>
    <n v="0.77486348696003005"/>
    <s v="m²"/>
    <s v="kg"/>
    <n v="30358"/>
    <s v="Bauteile aus dem Energieausweis"/>
    <n v="8"/>
    <n v="1"/>
    <s v="ja"/>
    <n v="1"/>
    <n v="35"/>
    <n v="35"/>
    <s v="Putze/Untergrund"/>
    <m/>
    <m/>
    <n v="2"/>
    <m/>
    <n v="3"/>
    <m/>
    <n v="100"/>
    <n v="0"/>
    <n v="0"/>
    <m/>
    <n v="2.0824897999999998"/>
    <n v="2.0824897999999998"/>
    <n v="0"/>
    <n v="0.22890157999999999"/>
    <n v="0.22890157999999999"/>
    <n v="0"/>
    <n v="0.12708958000000001"/>
    <n v="0.12708958000000001"/>
    <n v="0"/>
    <n v="3.434423E-4"/>
    <n v="1.5250263999999999E-4"/>
    <s v="4,48268E-5"/>
    <s v="1,0404857E-8"/>
    <n v="0"/>
    <n v="0"/>
    <n v="6"/>
    <n v="16.659918399999999"/>
    <n v="16.659918399999999"/>
    <n v="0"/>
    <n v="1.8312126399999999"/>
    <n v="1.8312126399999999"/>
    <n v="0"/>
    <n v="1.0167166400000001"/>
    <n v="1.0167166400000001"/>
    <n v="0"/>
    <n v="2.7475384E-3"/>
    <n v="1.2200211199999999E-3"/>
    <n v="3.5861440000000002E-4"/>
    <s v="8,3238856E-8"/>
    <n v="1.09112184"/>
    <n v="109.67754512926"/>
    <n v="3.2272906159733998"/>
    <n v="3.2272906159733998"/>
    <n v="0"/>
    <n v="0.35473495289891999"/>
    <n v="0.35473495289891999"/>
    <n v="0"/>
    <n v="0.19695415023016999"/>
    <n v="0.19695415023016999"/>
    <n v="0"/>
    <n v="5.3224179629514996E-4"/>
    <n v="2.3633745480202E-4"/>
    <s v="6,946930111452E-5"/>
    <s v="1,6124687552681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m/>
    <x v="32"/>
    <m/>
    <n v="3.0000000000000001E-3"/>
    <m/>
    <m/>
    <m/>
    <m/>
    <m/>
    <m/>
    <x v="2"/>
    <x v="1"/>
    <n v="1"/>
    <n v="3.0000000000000001E-3"/>
    <n v="1300"/>
    <n v="3.9"/>
    <m/>
    <n v="3.9"/>
    <n v="1360.164"/>
    <n v="4.2773582698411E-2"/>
    <s v="m²"/>
    <s v="kg"/>
    <n v="30358"/>
    <s v="Bauteile aus dem Energieausweis"/>
    <n v="1"/>
    <n v="1"/>
    <s v="ja"/>
    <n v="1"/>
    <n v="25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s v="4,7952013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s v="3,740257014E-6"/>
    <n v="38.121884059999999"/>
    <n v="217.52953958736001"/>
    <n v="6.4059671346398002"/>
    <n v="5.1834245705570003"/>
    <n v="1.2225425640828"/>
    <n v="0.28467097360443"/>
    <n v="0.28467097360443"/>
    <n v="0"/>
    <n v="0.34085534057685002"/>
    <n v="0.34085534057685002"/>
    <n v="0"/>
    <n v="1.1082266568875E-3"/>
    <n v="4.2462558013706001E-4"/>
    <n v="2.0013599371387E-4"/>
    <s v="4,1021587872215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n v="2142717191"/>
    <x v="39"/>
    <m/>
    <n v="1E-4"/>
    <m/>
    <m/>
    <m/>
    <m/>
    <m/>
    <m/>
    <x v="2"/>
    <x v="1"/>
    <n v="1"/>
    <n v="1E-4"/>
    <n v="650"/>
    <n v="6.5000000000000002E-2"/>
    <m/>
    <n v="6.5000000000000002E-2"/>
    <n v="22.6694"/>
    <n v="7.1289304497350998E-4"/>
    <s v="m²"/>
    <s v="kg"/>
    <n v="30358"/>
    <s v="Bauteile aus dem Energieausweis"/>
    <n v="2"/>
    <n v="1"/>
    <s v="ja"/>
    <n v="1"/>
    <n v="35"/>
    <n v="35"/>
    <s v="Gebäudeabdichtung/Folien, 35a"/>
    <m/>
    <m/>
    <n v="3"/>
    <m/>
    <n v="3"/>
    <m/>
    <n v="0"/>
    <n v="100"/>
    <n v="0"/>
    <m/>
    <n v="84.444359000000006"/>
    <n v="41.974359"/>
    <n v="42.47"/>
    <n v="3.1728236000000001"/>
    <n v="3.1728236000000001"/>
    <n v="0"/>
    <n v="2.6102582000000001"/>
    <n v="2.6102582000000001"/>
    <n v="0"/>
    <n v="1.0141371E-2"/>
    <n v="2.4516007000000002E-3"/>
    <n v="2.7319207999999999E-3"/>
    <s v="4,4255016E-8"/>
    <n v="0"/>
    <n v="0"/>
    <n v="6"/>
    <n v="10.977766669999999"/>
    <n v="5.4566666699999997"/>
    <n v="5.5210999999999997"/>
    <n v="0.41246706799999999"/>
    <n v="0.41246706799999999"/>
    <n v="0"/>
    <n v="0.33933356599999998"/>
    <n v="0.33933356599999998"/>
    <n v="0"/>
    <n v="1.31837823E-3"/>
    <n v="3.1870809099999997E-4"/>
    <n v="3.5514970399999998E-4"/>
    <s v="5,75315208E-9"/>
    <n v="0.59826491400000004"/>
    <n v="217.52953958736001"/>
    <n v="0.12039959243669"/>
    <n v="5.9846457196642999E-2"/>
    <n v="6.0553135240050002E-2"/>
    <n v="4.5237677547356999E-3"/>
    <n v="4.5237677547356999E-3"/>
    <n v="0"/>
    <n v="3.7216698327301998E-3"/>
    <n v="3.7216698327301998E-3"/>
    <n v="0"/>
    <s v="1,4459425704792E-5"/>
    <s v="3,4954581761644E-6"/>
    <s v="3,895134675477E-6"/>
    <s v="6,3098186223183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n v="2142707274"/>
    <x v="33"/>
    <m/>
    <n v="7.0000000000000007E-2"/>
    <m/>
    <m/>
    <m/>
    <m/>
    <m/>
    <m/>
    <x v="2"/>
    <x v="1"/>
    <n v="1"/>
    <n v="7.0000000000000007E-2"/>
    <n v="2000"/>
    <n v="140"/>
    <m/>
    <n v="140"/>
    <n v="48826.400000000001"/>
    <n v="1.5354619430198999"/>
    <s v="m²"/>
    <s v="kg"/>
    <n v="30358"/>
    <s v="Bauteile aus dem Energieausweis"/>
    <n v="3"/>
    <n v="1"/>
    <s v="ja"/>
    <n v="0"/>
    <n v="5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s v="4,8205521E-5"/>
    <s v="4,8452447E-9"/>
    <n v="0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s v="6,78334258E-7"/>
    <n v="15.661883533333"/>
    <n v="217.52953958736001"/>
    <n v="2.0547883381271999"/>
    <n v="2.0547883381271999"/>
    <n v="0"/>
    <n v="0.19029423608346999"/>
    <n v="0.19029423608346999"/>
    <n v="0"/>
    <n v="0.23213399250496"/>
    <n v="0.23213399250496"/>
    <n v="0"/>
    <n v="4.8443325277146E-4"/>
    <n v="3.1325392099816E-4"/>
    <s v="7,4017742938946E-5"/>
    <s v="7,439688841468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n v="2142718134"/>
    <x v="35"/>
    <m/>
    <n v="0.03"/>
    <m/>
    <m/>
    <m/>
    <m/>
    <m/>
    <m/>
    <x v="2"/>
    <x v="1"/>
    <n v="1"/>
    <n v="0.03"/>
    <n v="11"/>
    <n v="0.33"/>
    <m/>
    <n v="0.33"/>
    <n v="115.0908"/>
    <n v="3.6193031514039999E-3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s v="4,354548E-8"/>
    <n v="1.9747659744999999"/>
    <n v="217.52953958736001"/>
    <n v="0.35793286719574002"/>
    <n v="0.21316074113958"/>
    <n v="0.14477212605615999"/>
    <n v="3.4722060573893999E-3"/>
    <n v="3.4722060573893999E-3"/>
    <n v="0"/>
    <n v="1.5220547620364001E-2"/>
    <n v="1.5220547620364001E-2"/>
    <n v="0"/>
    <s v="5,3929205830003E-5"/>
    <s v="9,4520255284291E-6"/>
    <s v="3,307214730471E-5"/>
    <s v="4,7758876664667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n v="2142732302"/>
    <x v="36"/>
    <m/>
    <n v="1E-3"/>
    <m/>
    <m/>
    <m/>
    <m/>
    <m/>
    <m/>
    <x v="2"/>
    <x v="1"/>
    <n v="1"/>
    <n v="1E-3"/>
    <n v="300"/>
    <n v="0.3"/>
    <m/>
    <n v="0.3"/>
    <n v="104.628"/>
    <n v="3.2902755921854999E-3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217.52953958736001"/>
    <n v="0.56585108720381005"/>
    <n v="0.28637507840358001"/>
    <n v="0.27947600880022999"/>
    <n v="8.5696997966739005E-3"/>
    <n v="8.5696997966739005E-3"/>
    <n v="0"/>
    <n v="1.8778210847531999E-2"/>
    <n v="1.8847306634967999E-2"/>
    <n v="-6.9095787435895001E-5"/>
    <s v="5,4762028213877E-5"/>
    <s v="1,057139686203E-5"/>
    <s v="1,6310177758054E-5"/>
    <s v="2,5741059152959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m/>
    <x v="37"/>
    <s v="EPS"/>
    <n v="7.6999999999999999E-2"/>
    <m/>
    <m/>
    <m/>
    <m/>
    <m/>
    <m/>
    <x v="2"/>
    <x v="1"/>
    <n v="1"/>
    <n v="7.6999999999999999E-2"/>
    <n v="1800"/>
    <n v="138.6"/>
    <m/>
    <n v="138.6"/>
    <n v="48338.135999999999"/>
    <n v="1.5201073235897"/>
    <s v="m²"/>
    <s v="kg"/>
    <n v="30358"/>
    <s v="Bauteile aus dem Energieausweis"/>
    <n v="6"/>
    <n v="1"/>
    <s v="ja"/>
    <n v="0"/>
    <n v="5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s v="6,7317382E-5"/>
    <s v="2,8679227E-5"/>
    <s v="8,6913224E-6"/>
    <s v="9,460633E-10"/>
    <n v="0"/>
    <n v="0"/>
    <n v="6"/>
    <n v="26.659581102000001"/>
    <n v="26.659581102000001"/>
    <n v="0"/>
    <n v="0.78522340049999995"/>
    <n v="0.78522340049999995"/>
    <n v="0"/>
    <n v="2.8097651736000002"/>
    <n v="2.8097651736000002"/>
    <n v="0"/>
    <n v="9.3301891452000005E-3"/>
    <n v="3.9749408622000004E-3"/>
    <n v="1.20461728464E-3"/>
    <s v="1,3112437338E-7"/>
    <n v="2.6009721183600001"/>
    <n v="217.52953958736001"/>
    <n v="0.29239122999265998"/>
    <n v="0.29239122999265998"/>
    <n v="0"/>
    <n v="8.6120046302599999E-3"/>
    <n v="8.6120046302599999E-3"/>
    <n v="0"/>
    <n v="3.0816339234896E-2"/>
    <n v="3.0816339234896E-2"/>
    <n v="0"/>
    <n v="1.0232964538308E-4"/>
    <s v="4,3595502997591E-5"/>
    <s v="1,3211742831919E-5"/>
    <s v="1,438117750909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m/>
    <x v="9"/>
    <m/>
    <n v="0.35"/>
    <m/>
    <m/>
    <m/>
    <m/>
    <m/>
    <m/>
    <x v="2"/>
    <x v="1"/>
    <n v="1"/>
    <n v="0.35"/>
    <n v="2325"/>
    <n v="813.75"/>
    <m/>
    <n v="813.75"/>
    <n v="283803.45"/>
    <n v="8.9248725438029997"/>
    <s v="m²"/>
    <s v="kg"/>
    <n v="30358"/>
    <s v="Bauteile aus dem Energieausweis"/>
    <n v="7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s v="3,672514944E-6"/>
    <n v="105.6749968925"/>
    <n v="217.52953958736001"/>
    <n v="13.976394135471001"/>
    <n v="13.976394135471001"/>
    <n v="0"/>
    <n v="0.42371690081955998"/>
    <n v="0.42371690081955998"/>
    <n v="0"/>
    <n v="1.3647229663772"/>
    <n v="1.3647229663772"/>
    <n v="0"/>
    <n v="3.4924943326524001E-3"/>
    <n v="2.2005257670188001E-3"/>
    <n v="6.8891720369129998E-4"/>
    <s v="4,0278620940598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475"/>
    <x v="9"/>
    <n v="114"/>
    <s v="opake Bauteile"/>
    <s v="nein"/>
    <n v="348.76"/>
    <m/>
    <n v="2142710056"/>
    <x v="40"/>
    <m/>
    <n v="0.16"/>
    <m/>
    <m/>
    <m/>
    <m/>
    <m/>
    <m/>
    <x v="2"/>
    <x v="1"/>
    <n v="1"/>
    <n v="0.16"/>
    <n v="105"/>
    <n v="16.8"/>
    <m/>
    <n v="16.8"/>
    <n v="5859.1679999999997"/>
    <n v="0.18425543316238999"/>
    <s v="m²"/>
    <s v="kg"/>
    <n v="30358"/>
    <s v="Bauteile aus dem Energieausweis"/>
    <n v="8"/>
    <n v="1"/>
    <s v="ja"/>
    <n v="1"/>
    <n v="35"/>
    <n v="35"/>
    <s v="Sekundärkonstruktion - WDVS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1"/>
    <n v="0"/>
    <n v="6"/>
    <n v="717.12732000000005"/>
    <n v="717.12732000000005"/>
    <n v="0"/>
    <n v="26.365838688"/>
    <n v="26.365838688"/>
    <n v="0"/>
    <n v="58.495284959999999"/>
    <n v="58.495284959999999"/>
    <n v="0"/>
    <n v="0.39679332"/>
    <n v="0.10449920544000001"/>
    <n v="0.17012459184000001"/>
    <s v="2,355696E-6"/>
    <n v="86.559234160000003"/>
    <n v="217.52953958736001"/>
    <n v="7.8651550582845999"/>
    <n v="7.8651550582845999"/>
    <n v="0"/>
    <n v="0.28916958500875001"/>
    <n v="0.28916958500875001"/>
    <n v="0"/>
    <n v="0.64155202787274002"/>
    <n v="0.64155202787274002"/>
    <n v="0"/>
    <n v="4.3518645864607996E-3"/>
    <n v="1.1461039502067001E-3"/>
    <n v="1.8658559738721999E-3"/>
    <s v="2,583629683803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m/>
    <x v="32"/>
    <m/>
    <n v="3.0000000000000001E-3"/>
    <m/>
    <m/>
    <m/>
    <m/>
    <m/>
    <m/>
    <x v="2"/>
    <x v="1"/>
    <n v="1"/>
    <n v="3.0000000000000001E-3"/>
    <n v="1300"/>
    <n v="3.9"/>
    <m/>
    <n v="3.9"/>
    <n v="1381.068"/>
    <n v="4.3430958553622001E-2"/>
    <s v="m²"/>
    <s v="kg"/>
    <n v="30358"/>
    <s v="Bauteile aus dem Energieausweis"/>
    <n v="1"/>
    <n v="1"/>
    <s v="ja"/>
    <n v="1"/>
    <n v="25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s v="4,7952013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s v="3,740257014E-6"/>
    <n v="38.121884059999999"/>
    <n v="244.23418852482999"/>
    <n v="6.5044187456091"/>
    <n v="5.2630872488979001"/>
    <n v="1.2413314967111999"/>
    <n v="0.28904600634477001"/>
    <n v="0.28904600634477001"/>
    <n v="0"/>
    <n v="0.34609385596133002"/>
    <n v="0.34609385596133002"/>
    <n v="0"/>
    <n v="1.1252586986380999E-3"/>
    <n v="4.3115153812976E-4"/>
    <n v="2.0321183075454999E-4"/>
    <s v="4,1652037783315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n v="2142707274"/>
    <x v="33"/>
    <m/>
    <n v="0.09"/>
    <m/>
    <m/>
    <m/>
    <m/>
    <m/>
    <m/>
    <x v="2"/>
    <x v="1"/>
    <n v="1"/>
    <n v="0.09"/>
    <n v="2000"/>
    <n v="180"/>
    <m/>
    <n v="180"/>
    <n v="63741.599999999999"/>
    <n v="2.0045057793979"/>
    <s v="m²"/>
    <s v="kg"/>
    <n v="30358"/>
    <s v="Bauteile aus dem Energieausweis"/>
    <n v="2"/>
    <n v="1"/>
    <s v="ja"/>
    <n v="0"/>
    <n v="5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s v="4,8205521E-5"/>
    <s v="4,8452447E-9"/>
    <n v="0"/>
    <n v="0"/>
    <n v="6"/>
    <n v="240.87988799999999"/>
    <n v="240.87988799999999"/>
    <n v="0"/>
    <n v="22.307920200000002"/>
    <n v="22.307920200000002"/>
    <n v="0"/>
    <n v="27.2127348"/>
    <n v="27.2127348"/>
    <n v="0"/>
    <n v="5.6789415000000003E-2"/>
    <n v="3.6722307599999997E-2"/>
    <n v="8.6769937799999995E-3"/>
    <s v="8,72144046E-7"/>
    <n v="20.136707399999999"/>
    <n v="244.23418852482999"/>
    <n v="2.6824729313151998"/>
    <n v="2.6824729313151998"/>
    <n v="0"/>
    <n v="0.24842419426248999"/>
    <n v="0.24842419426248999"/>
    <n v="0"/>
    <n v="0.30304491211013002"/>
    <n v="0.30304491211013002"/>
    <n v="0"/>
    <n v="6.3241505875627003E-4"/>
    <n v="4.0894487676126998E-4"/>
    <s v="9,6628245443389E-5"/>
    <s v="9,7123210037473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n v="2142719798"/>
    <x v="34"/>
    <m/>
    <n v="8.8000000000000005E-3"/>
    <m/>
    <m/>
    <m/>
    <m/>
    <m/>
    <m/>
    <x v="2"/>
    <x v="1"/>
    <n v="1"/>
    <n v="8.8000000000000005E-3"/>
    <n v="300"/>
    <n v="2.64"/>
    <m/>
    <n v="2.64"/>
    <n v="934.8768"/>
    <n v="2.9399418097836999E-2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244.23418852482999"/>
    <n v="5.0560180227245004"/>
    <n v="2.5588314494943001"/>
    <n v="2.4971865732301999"/>
    <n v="7.6572366124509003E-2"/>
    <n v="7.6572366124509003E-2"/>
    <n v="0"/>
    <n v="0.16778791209682001"/>
    <n v="0.16840529987687"/>
    <n v="-6.1738778005457004E-4"/>
    <n v="4.8931213153362004E-4"/>
    <s v="9,4458019554086E-5"/>
    <n v="1.4573543210116E-4"/>
    <s v="2,300026666812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n v="2142718134"/>
    <x v="35"/>
    <m/>
    <n v="0.03"/>
    <m/>
    <m/>
    <m/>
    <m/>
    <m/>
    <m/>
    <x v="2"/>
    <x v="1"/>
    <n v="1"/>
    <n v="0.03"/>
    <n v="11"/>
    <n v="0.33"/>
    <m/>
    <n v="0.33"/>
    <n v="116.8596"/>
    <n v="3.6749272622296002E-3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s v="1,31956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s v="4,354548E-8"/>
    <n v="1.9747659744999999"/>
    <n v="244.23418852482999"/>
    <n v="0.36343384256036998"/>
    <n v="0.21643675207119001"/>
    <n v="0.14699709048918"/>
    <n v="3.5255694719657001E-3"/>
    <n v="3.5255694719657001E-3"/>
    <n v="0"/>
    <n v="1.5454468182484001E-2"/>
    <n v="1.5454468182484001E-2"/>
    <n v="0"/>
    <s v="5,4758029500289E-5"/>
    <s v="9,5972912034846E-6"/>
    <s v="3,3580424370753E-5"/>
    <s v="4,8492870181476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n v="2142732302"/>
    <x v="36"/>
    <m/>
    <n v="1E-3"/>
    <m/>
    <m/>
    <m/>
    <m/>
    <m/>
    <m/>
    <x v="2"/>
    <x v="1"/>
    <n v="1"/>
    <n v="1E-3"/>
    <n v="300"/>
    <n v="0.3"/>
    <m/>
    <n v="0.3"/>
    <n v="106.236"/>
    <n v="3.3408429656632001E-3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244.23418852482999"/>
    <n v="0.57454750258233001"/>
    <n v="0.29077630107890001"/>
    <n v="0.28377120150343998"/>
    <n v="8.7014052414214997E-3"/>
    <n v="8.7014052414214997E-3"/>
    <n v="0"/>
    <n v="1.9066808192820001E-2"/>
    <n v="1.9136965895099001E-2"/>
    <n v="-7.0157702278928003E-5"/>
    <s v="5,5603651310638E-5"/>
    <s v="1,0733865858419E-5"/>
    <s v="1,6560844556951E-5"/>
    <s v="2,6136666668327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m/>
    <x v="37"/>
    <s v="EPS"/>
    <n v="5.7000000000000002E-2"/>
    <m/>
    <m/>
    <m/>
    <m/>
    <m/>
    <m/>
    <x v="2"/>
    <x v="1"/>
    <n v="1"/>
    <n v="5.7000000000000002E-2"/>
    <n v="1800"/>
    <n v="102.6"/>
    <m/>
    <n v="102.6"/>
    <n v="36332.712"/>
    <n v="1.1425682942568001"/>
    <s v="m²"/>
    <s v="kg"/>
    <n v="30358"/>
    <s v="Bauteile aus dem Energieausweis"/>
    <n v="6"/>
    <n v="1"/>
    <s v="ja"/>
    <n v="0"/>
    <n v="5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s v="6,7317382E-5"/>
    <s v="2,8679227E-5"/>
    <s v="8,6913224E-6"/>
    <s v="9,460633E-10"/>
    <n v="0"/>
    <n v="0"/>
    <n v="6"/>
    <n v="19.735014582000002"/>
    <n v="19.735014582000002"/>
    <n v="0"/>
    <n v="0.58126927049999999"/>
    <n v="0.58126927049999999"/>
    <n v="0"/>
    <n v="2.0799560376000001"/>
    <n v="2.0799560376000001"/>
    <n v="0"/>
    <n v="6.9067633932000001E-3"/>
    <n v="2.9424886902000001E-3"/>
    <n v="8.9172967824000004E-4"/>
    <s v="9,706609458E-8"/>
    <n v="1.9253949447600001"/>
    <n v="244.23418852482999"/>
    <n v="0.21977194881178999"/>
    <n v="0.21977194881178999"/>
    <n v="0"/>
    <n v="6.4730978450203997E-3"/>
    <n v="6.4730978450203997E-3"/>
    <n v="0"/>
    <n v="2.3162688323683001E-2"/>
    <n v="2.3162688323683001E-2"/>
    <n v="0"/>
    <s v="7,6914706325575E-5"/>
    <s v="3,2767975473994E-5"/>
    <s v="9,9304294094042E-6"/>
    <s v="1,08094193094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m/>
    <x v="9"/>
    <m/>
    <n v="0.35"/>
    <m/>
    <m/>
    <m/>
    <m/>
    <m/>
    <m/>
    <x v="2"/>
    <x v="1"/>
    <n v="1"/>
    <n v="0.35"/>
    <n v="2325"/>
    <n v="813.75"/>
    <m/>
    <n v="813.75"/>
    <n v="288165.15000000002"/>
    <n v="9.0620365443616002"/>
    <s v="m²"/>
    <s v="kg"/>
    <n v="30358"/>
    <s v="Bauteile aus dem Energieausweis"/>
    <n v="7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s v="3,672514944E-6"/>
    <n v="105.6749968925"/>
    <n v="244.23418852482999"/>
    <n v="14.191193632449"/>
    <n v="14.191193632449"/>
    <n v="0"/>
    <n v="0.43022889356068"/>
    <n v="0.43022889356068"/>
    <n v="0"/>
    <n v="1.3856970319230999"/>
    <n v="1.3856970319230999"/>
    <n v="0"/>
    <n v="3.5461695523536E-3"/>
    <n v="2.2343450642754001E-3"/>
    <n v="6.9950498959503004E-4"/>
    <s v="4,089765238985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3"/>
    <x v="10"/>
    <n v="114"/>
    <s v="opake Bauteile"/>
    <s v="nein"/>
    <n v="354.12"/>
    <m/>
    <n v="2142710056"/>
    <x v="40"/>
    <m/>
    <n v="0.16"/>
    <m/>
    <m/>
    <m/>
    <m/>
    <m/>
    <m/>
    <x v="2"/>
    <x v="1"/>
    <n v="1"/>
    <n v="0.16"/>
    <n v="105"/>
    <n v="16.8"/>
    <m/>
    <n v="16.8"/>
    <n v="5949.2160000000003"/>
    <n v="0.18708720607713999"/>
    <s v="m²"/>
    <s v="kg"/>
    <n v="30358"/>
    <s v="Bauteile aus dem Energieausweis"/>
    <n v="8"/>
    <n v="1"/>
    <s v="ja"/>
    <n v="1"/>
    <n v="35"/>
    <n v="35"/>
    <s v="Sekundärkonstruktion - WDVS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1"/>
    <n v="0"/>
    <n v="6"/>
    <n v="717.12732000000005"/>
    <n v="717.12732000000005"/>
    <n v="0"/>
    <n v="26.365838688"/>
    <n v="26.365838688"/>
    <n v="0"/>
    <n v="58.495284959999999"/>
    <n v="58.495284959999999"/>
    <n v="0"/>
    <n v="0.39679332"/>
    <n v="0.10449920544000001"/>
    <n v="0.17012459184000001"/>
    <s v="2,355696E-6"/>
    <n v="86.559234160000003"/>
    <n v="244.23418852482999"/>
    <n v="7.9860325416898004"/>
    <n v="7.9860325416898004"/>
    <n v="0"/>
    <n v="0.29361375571539"/>
    <n v="0.29361375571539"/>
    <n v="0"/>
    <n v="0.65141187094360997"/>
    <n v="0.65141187094360997"/>
    <n v="0"/>
    <n v="4.4187472398139003E-3"/>
    <n v="1.1637181180386999E-3"/>
    <n v="1.8945318197832999E-3"/>
    <s v="2,6233368036137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686315"/>
    <x v="41"/>
    <m/>
    <n v="1.4E-2"/>
    <m/>
    <m/>
    <m/>
    <m/>
    <m/>
    <m/>
    <x v="2"/>
    <x v="1"/>
    <n v="1"/>
    <n v="1.4E-2"/>
    <n v="500"/>
    <n v="7"/>
    <m/>
    <n v="7"/>
    <n v="371.98"/>
    <n v="1.1697793275041999E-2"/>
    <s v="m²"/>
    <s v="kg"/>
    <n v="30358"/>
    <s v="Bauteile aus dem Energieausweis"/>
    <n v="1"/>
    <n v="1"/>
    <s v="ja"/>
    <n v="1"/>
    <n v="25"/>
    <n v="25"/>
    <s v="Tertiärkonstruktion - Boden- und Wandbeläge, 25a"/>
    <m/>
    <m/>
    <n v="2"/>
    <m/>
    <n v="2"/>
    <m/>
    <n v="0"/>
    <n v="100"/>
    <n v="0"/>
    <m/>
    <n v="16.942875999999998"/>
    <n v="16.247876000000002"/>
    <n v="0.69499999999999995"/>
    <n v="24.553808"/>
    <n v="7.2538080000000003"/>
    <n v="17.3"/>
    <n v="0.12088635"/>
    <n v="0.94918634999999996"/>
    <n v="-0.82830000000000004"/>
    <n v="5.246405E-3"/>
    <n v="2.1616691999999998E-3"/>
    <n v="8.3573288999999997E-4"/>
    <s v="9,9083E-8"/>
    <n v="0"/>
    <n v="0"/>
    <n v="6"/>
    <n v="237.200264"/>
    <n v="227.47026399999999"/>
    <n v="9.73"/>
    <n v="343.75331199999999"/>
    <n v="101.55331200000001"/>
    <n v="242.2"/>
    <n v="7.4905089"/>
    <n v="13.2886089"/>
    <n v="-5.7980999999999998"/>
    <n v="7.3449669999999995E-2"/>
    <n v="3.0263368799999999E-2"/>
    <n v="1.170026046E-2"/>
    <s v="1,387162E-6"/>
    <n v="18.948382949999999"/>
    <n v="161.5338939474"/>
    <n v="0.39638852186536"/>
    <n v="0.38012858921304998"/>
    <n v="1.6259932652309E-2"/>
    <n v="0.57445074019817"/>
    <n v="0.16970709288169999"/>
    <n v="0.40474364731647"/>
    <n v="1.2517489233867E-2"/>
    <n v="2.2206771403584E-2"/>
    <n v="-9.6892821697177004E-3"/>
    <n v="1.227427222543E-4"/>
    <s v="5,0573518861253E-5"/>
    <s v="1,9552461160748E-5"/>
    <s v="2,3181049021421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07274"/>
    <x v="33"/>
    <m/>
    <n v="2.5000000000000001E-2"/>
    <m/>
    <m/>
    <m/>
    <m/>
    <m/>
    <m/>
    <x v="2"/>
    <x v="1"/>
    <n v="1"/>
    <n v="2.5000000000000001E-2"/>
    <n v="2000"/>
    <n v="50"/>
    <m/>
    <n v="50"/>
    <n v="2657"/>
    <n v="8.3555666250303001E-2"/>
    <s v="m²"/>
    <s v="kg"/>
    <n v="30358"/>
    <s v="Bauteile aus dem Energieausweis"/>
    <n v="2"/>
    <n v="1"/>
    <s v="ja"/>
    <n v="0"/>
    <n v="5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s v="4,8205521E-5"/>
    <s v="4,8452447E-9"/>
    <n v="0"/>
    <n v="0"/>
    <n v="6"/>
    <n v="66.911079999999998"/>
    <n v="66.911079999999998"/>
    <n v="0"/>
    <n v="6.1966444999999997"/>
    <n v="6.1966444999999997"/>
    <n v="0"/>
    <n v="7.5590929999999998"/>
    <n v="7.5590929999999998"/>
    <n v="0"/>
    <n v="1.57748375E-2"/>
    <n v="1.0200641E-2"/>
    <n v="2.4102760500000001E-3"/>
    <s v="2,42262235E-7"/>
    <n v="5.5935298333333003"/>
    <n v="161.5338939474"/>
    <n v="0.11181599737855"/>
    <n v="0.11181599737855"/>
    <n v="0"/>
    <n v="1.0355295194276E-2"/>
    <n v="1.0355295194276E-2"/>
    <n v="0"/>
    <n v="1.263210103726E-2"/>
    <n v="1.263210103726E-2"/>
    <n v="0"/>
    <s v="2,6361541146055E-5"/>
    <s v="1,7046427098703E-5"/>
    <s v="4,027844424098E-6"/>
    <s v="4,0484764905425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19798"/>
    <x v="34"/>
    <m/>
    <n v="8.8000000000000005E-3"/>
    <m/>
    <m/>
    <m/>
    <m/>
    <m/>
    <m/>
    <x v="2"/>
    <x v="1"/>
    <n v="1"/>
    <n v="8.8000000000000005E-3"/>
    <n v="300"/>
    <n v="2.64"/>
    <m/>
    <n v="2.64"/>
    <n v="140.28960000000001"/>
    <n v="4.411739178016E-3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161.5338939474"/>
    <n v="0.75871681274026004"/>
    <n v="0.38398368695958002"/>
    <n v="0.37473312578068002"/>
    <n v="1.1490612040711E-2"/>
    <n v="1.1490612040711E-2"/>
    <n v="0"/>
    <n v="2.5178610778337999E-2"/>
    <n v="2.5271257301075999E-2"/>
    <n v="-9.2646522738335996E-5"/>
    <s v="7,3427218653836E-5"/>
    <s v="1,4174571216266E-5"/>
    <s v="2,1869368750299E-5"/>
    <s v="3,4514689109463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m/>
    <x v="42"/>
    <s v="Höhenausgleichsplatte"/>
    <n v="0.03"/>
    <m/>
    <m/>
    <m/>
    <m/>
    <m/>
    <m/>
    <x v="2"/>
    <x v="1"/>
    <n v="1"/>
    <n v="0.03"/>
    <n v="500"/>
    <n v="15"/>
    <m/>
    <n v="15"/>
    <n v="797.1"/>
    <n v="2.5066699875091001E-2"/>
    <s v="m²"/>
    <s v="kg"/>
    <n v="30358"/>
    <s v="Bauteile aus dem Energieausweis"/>
    <n v="4"/>
    <n v="1"/>
    <s v="ja"/>
    <n v="1"/>
    <n v="35"/>
    <n v="35"/>
    <s v="Gebäudeabdichtung/Folien, 35a"/>
    <m/>
    <m/>
    <n v="3"/>
    <m/>
    <n v="3"/>
    <m/>
    <n v="0"/>
    <n v="100"/>
    <n v="0"/>
    <m/>
    <n v="14.248305"/>
    <n v="14.248305"/>
    <n v="0"/>
    <n v="38.211621999999998"/>
    <n v="24.444621999999999"/>
    <n v="13.766999999999999"/>
    <n v="-0.95084049000000004"/>
    <n v="0.84515951"/>
    <n v="-1.796"/>
    <n v="5.8931249999999999E-3"/>
    <n v="2.4360761000000002E-3"/>
    <n v="6.2504502999999995E-4"/>
    <s v="7,9133968E-8"/>
    <n v="0"/>
    <n v="0"/>
    <n v="6"/>
    <n v="427.44914999999997"/>
    <n v="427.44914999999997"/>
    <n v="0"/>
    <n v="1146.3486600000001"/>
    <n v="733.33866"/>
    <n v="413.01"/>
    <n v="-1.5852147000000001"/>
    <n v="25.3547853"/>
    <n v="-26.94"/>
    <n v="0.17679375"/>
    <n v="7.3082282999999998E-2"/>
    <n v="1.8751350900000002E-2"/>
    <s v="2,37401904E-6"/>
    <n v="37.556602550000001"/>
    <n v="161.5338939474"/>
    <n v="0.71431597032752003"/>
    <n v="0.71431597032752003"/>
    <n v="0"/>
    <n v="1.9156785208289"/>
    <n v="1.2254920064681001"/>
    <n v="0.69018651436075995"/>
    <n v="-2.6490734081655001E-3"/>
    <n v="4.2370719567498001E-2"/>
    <n v="-4.5019792975663997E-2"/>
    <n v="2.9544239140278999E-4"/>
    <n v="1.2212877694316E-4"/>
    <s v="3,1335632350855E-5"/>
    <s v="3,9672548515621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32108"/>
    <x v="43"/>
    <m/>
    <n v="2.5000000000000001E-2"/>
    <m/>
    <m/>
    <m/>
    <m/>
    <m/>
    <m/>
    <x v="2"/>
    <x v="1"/>
    <n v="1"/>
    <n v="2.5000000000000001E-2"/>
    <n v="388"/>
    <n v="9.6999999999999993"/>
    <m/>
    <n v="9.6999999999999993"/>
    <n v="515.45799999999997"/>
    <n v="1.6209799252558998E-2"/>
    <s v="m²"/>
    <s v="kg"/>
    <n v="30358"/>
    <s v="Bauteile aus dem Energieausweis"/>
    <n v="5"/>
    <n v="1"/>
    <s v="ja"/>
    <n v="0"/>
    <n v="50"/>
    <n v="50"/>
    <s v="Sekundärkonstruktion"/>
    <m/>
    <m/>
    <n v="3"/>
    <m/>
    <n v="4"/>
    <m/>
    <n v="50"/>
    <n v="50"/>
    <n v="0"/>
    <m/>
    <n v="4.0335089000000002"/>
    <n v="4.0335089000000002"/>
    <n v="0"/>
    <n v="5.3701355"/>
    <n v="0.10465883333333"/>
    <n v="5.2654766666667001"/>
    <n v="-0.14579291999999999"/>
    <n v="0.40520708"/>
    <n v="-0.55100000000000005"/>
    <n v="8.2581794999999996E-4"/>
    <n v="4.8505788000000001E-4"/>
    <n v="1.3693500999999999E-4"/>
    <s v="1,2628598E-8"/>
    <n v="1"/>
    <n v="0"/>
    <n v="6"/>
    <n v="39.12503633"/>
    <n v="39.12503633"/>
    <n v="0"/>
    <n v="52.09031435"/>
    <n v="1.0151906833333"/>
    <n v="51.075123666666997"/>
    <n v="-1.4141913239999999"/>
    <n v="3.9305086760000001"/>
    <n v="-5.3446999999999996"/>
    <n v="8.0104341149999994E-3"/>
    <n v="4.705061436E-3"/>
    <n v="1.328269597E-3"/>
    <s v="1,224974006E-7"/>
    <n v="2.1365272056667002"/>
    <n v="161.5338939474"/>
    <n v="6.5382369552410002E-2"/>
    <n v="6.5382369552410002E-2"/>
    <n v="0"/>
    <n v="8.7048818414039997E-2"/>
    <n v="1.6964986783403E-3"/>
    <n v="8.5352319735699997E-2"/>
    <n v="-2.3632739656443999E-3"/>
    <n v="6.5683254225155996E-3"/>
    <n v="-8.9315993881599002E-3"/>
    <s v="1,338634318866E-5"/>
    <s v="7,8626908606718E-6"/>
    <s v="2,2196890227471E-6"/>
    <s v="2,0470703842127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23421"/>
    <x v="44"/>
    <m/>
    <n v="0.03"/>
    <m/>
    <m/>
    <m/>
    <m/>
    <m/>
    <m/>
    <x v="2"/>
    <x v="1"/>
    <n v="1"/>
    <n v="0.03"/>
    <n v="150"/>
    <n v="4.5"/>
    <m/>
    <n v="4.5"/>
    <n v="239.13"/>
    <n v="7.5200099625273003E-3"/>
    <s v="m²"/>
    <s v="kg"/>
    <n v="30358"/>
    <s v="Bauteile aus dem Energieausweis"/>
    <n v="6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1"/>
    <n v="0"/>
    <n v="6"/>
    <n v="96.043837499999995"/>
    <n v="96.043837499999995"/>
    <n v="0"/>
    <n v="3.5311391099999998"/>
    <n v="3.5311391099999998"/>
    <n v="0"/>
    <n v="7.8341899499999998"/>
    <n v="7.8341899499999998"/>
    <n v="0"/>
    <n v="5.3141962500000001E-2"/>
    <n v="1.3995429300000001E-2"/>
    <n v="2.2784543550000001E-2"/>
    <s v="3,15495E-7"/>
    <n v="11.592754575000001"/>
    <n v="161.5338939474"/>
    <n v="0.16050013663096999"/>
    <n v="0.16050013663096999"/>
    <n v="0"/>
    <n v="5.9009336191711004E-3"/>
    <n v="5.9009336191711004E-3"/>
    <n v="0"/>
    <n v="1.3091819216074E-2"/>
    <n v="1.3091819216074E-2"/>
    <n v="0"/>
    <s v="8,8806241650723E-5"/>
    <s v="2,338794839241E-5"/>
    <s v="3,8075554330586E-5"/>
    <s v="5,2722789847279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686781"/>
    <x v="15"/>
    <m/>
    <n v="2.9999999999999997E-4"/>
    <m/>
    <m/>
    <m/>
    <m/>
    <m/>
    <m/>
    <x v="2"/>
    <x v="1"/>
    <n v="1"/>
    <n v="2.9999999999999997E-4"/>
    <n v="300"/>
    <n v="0.09"/>
    <m/>
    <n v="0.09"/>
    <n v="4.7826000000000004"/>
    <n v="1.5040019925055E-4"/>
    <s v="m²"/>
    <s v="kg"/>
    <n v="30358"/>
    <s v="Bauteile aus dem Energieausweis"/>
    <n v="7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15.47791254"/>
    <n v="7.8333125399999997"/>
    <n v="7.6445999999999996"/>
    <n v="0.23440984200000001"/>
    <n v="0.23440984200000001"/>
    <n v="0"/>
    <n v="0.51364663200000005"/>
    <n v="0.51553663199999999"/>
    <n v="-1.89E-3"/>
    <n v="1.4979239279999999E-3"/>
    <n v="2.8916292600000002E-4"/>
    <n v="4.4613770399999999E-4"/>
    <s v="7,04103732E-9"/>
    <n v="0.80126138039999995"/>
    <n v="161.5338939474"/>
    <n v="2.5865345888873001E-2"/>
    <n v="1.3090352964531E-2"/>
    <n v="1.2774992924341E-2"/>
    <n v="3.9172541047877E-4"/>
    <n v="3.9172541047877E-4"/>
    <n v="0"/>
    <n v="8.5836173107969004E-4"/>
    <n v="8.6152013526394995E-4"/>
    <n v="-3.1584041842614999E-6"/>
    <s v="2,5032006359262E-6"/>
    <s v="4,8322401873634E-7"/>
    <s v="7,4554666194201E-7"/>
    <s v="1,1766371287317E-11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30429"/>
    <x v="45"/>
    <m/>
    <n v="0.03"/>
    <m/>
    <m/>
    <m/>
    <m/>
    <m/>
    <m/>
    <x v="2"/>
    <x v="1"/>
    <n v="1"/>
    <n v="0.03"/>
    <n v="550"/>
    <n v="16.5"/>
    <m/>
    <n v="16.5"/>
    <n v="876.81"/>
    <n v="2.7573369862599999E-2"/>
    <s v="m²"/>
    <s v="kg"/>
    <n v="30358"/>
    <s v="Bauteile aus dem Energieausweis"/>
    <n v="8"/>
    <n v="1"/>
    <s v="ja"/>
    <n v="0"/>
    <n v="5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s v="6,9693E-8"/>
    <n v="1"/>
    <n v="0"/>
    <n v="6"/>
    <n v="206.971677"/>
    <n v="181.25004150000001"/>
    <n v="25.721635500000001"/>
    <n v="400.880832"/>
    <n v="157.67990699999999"/>
    <n v="243.20092500000001"/>
    <n v="-2.9233497150000001"/>
    <n v="10.534875285"/>
    <n v="-13.458225000000001"/>
    <n v="5.6992348050000002E-2"/>
    <n v="2.560839765E-2"/>
    <n v="1.1594377905E-2"/>
    <s v="1,1499345E-6"/>
    <n v="14.010810687499999"/>
    <n v="161.5338939474"/>
    <n v="0.34587312733355002"/>
    <n v="0.30288935950855"/>
    <n v="4.2983767824998999E-2"/>
    <n v="0.66991730009471995"/>
    <n v="0.26350099367342"/>
    <n v="0.4064163064213"/>
    <n v="-4.8852486623891999E-3"/>
    <n v="1.7604970466040998E-2"/>
    <n v="-2.2490219128430002E-2"/>
    <s v="9,5240672249739E-5"/>
    <s v="4,2794534544969E-5"/>
    <s v="1,9375519412201E-5"/>
    <s v="1,921670865834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30429"/>
    <x v="45"/>
    <m/>
    <n v="5.7000000000000002E-2"/>
    <m/>
    <m/>
    <m/>
    <m/>
    <m/>
    <m/>
    <x v="2"/>
    <x v="1"/>
    <n v="0.8"/>
    <n v="4.5600000000000002E-2"/>
    <n v="550"/>
    <n v="25.08"/>
    <m/>
    <n v="25.08"/>
    <n v="1332.7511999999999"/>
    <n v="4.1911522191151997E-2"/>
    <s v="m²"/>
    <s v="kg"/>
    <n v="30358"/>
    <s v="Bauteile aus dem Energieausweis"/>
    <n v="9"/>
    <n v="1"/>
    <s v="ja"/>
    <n v="0"/>
    <n v="5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s v="6,9693E-8"/>
    <n v="0"/>
    <n v="0"/>
    <n v="6"/>
    <n v="314.59694904000003"/>
    <n v="275.50006308000002"/>
    <n v="39.096885960000002"/>
    <n v="609.33886464"/>
    <n v="239.67345864000001"/>
    <n v="369.66540600000002"/>
    <n v="-4.4434915667999997"/>
    <n v="16.013010433200002"/>
    <n v="-20.456502"/>
    <n v="8.6628369036000005E-2"/>
    <n v="3.8924764427999997E-2"/>
    <n v="1.7623454415599999E-2"/>
    <s v="1,74790044E-6"/>
    <n v="21.296432244999998"/>
    <n v="161.5338939474"/>
    <n v="0.52572715354699995"/>
    <n v="0.46039182645299997"/>
    <n v="6.5335327093999002E-2"/>
    <n v="1.0182742961439999"/>
    <n v="0.40052151038360001"/>
    <n v="0.61775278576037995"/>
    <n v="-7.4255779668316001E-3"/>
    <n v="2.6759555108381999E-2"/>
    <n v="-3.4185133075213002E-2"/>
    <n v="1.4476582181959999E-4"/>
    <s v="6,5047692508353E-5"/>
    <s v="2,9450789506546E-5"/>
    <s v="2,920939716068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m/>
    <x v="46"/>
    <m/>
    <n v="5.7000000000000002E-2"/>
    <m/>
    <m/>
    <m/>
    <m/>
    <m/>
    <m/>
    <x v="2"/>
    <x v="1"/>
    <n v="0.2"/>
    <n v="1.14E-2"/>
    <n v="1500"/>
    <n v="17.100000000000001"/>
    <m/>
    <n v="17.100000000000001"/>
    <n v="908.69399999999996"/>
    <n v="2.8576037857604E-2"/>
    <s v="m²"/>
    <s v="kg"/>
    <n v="30358"/>
    <s v="Bauteile aus dem Energieausweis"/>
    <n v="9"/>
    <n v="2"/>
    <s v="ja"/>
    <n v="0"/>
    <n v="100"/>
    <n v="100"/>
    <s v="Primärkonstruktion - Tragkonstruktion"/>
    <m/>
    <m/>
    <n v="2"/>
    <m/>
    <n v="3"/>
    <m/>
    <n v="100"/>
    <n v="0"/>
    <n v="0"/>
    <m/>
    <n v="2.7139807999999999"/>
    <n v="2.7139807999999999"/>
    <n v="0"/>
    <n v="0.54105435000000002"/>
    <n v="0.54105435000000002"/>
    <n v="0"/>
    <n v="0.34419855999999999"/>
    <n v="0.34419855999999999"/>
    <n v="0"/>
    <n v="7.9290581999999997E-4"/>
    <n v="3.4724952999999999E-4"/>
    <n v="1.2757719E-4"/>
    <s v="1,3156764E-8"/>
    <n v="0"/>
    <n v="0"/>
    <n v="6"/>
    <n v="46.409071679999997"/>
    <n v="46.409071679999997"/>
    <n v="0"/>
    <n v="9.2520293850000002"/>
    <n v="9.2520293850000002"/>
    <n v="0"/>
    <n v="5.8857953759999999"/>
    <n v="5.8857953759999999"/>
    <n v="0"/>
    <n v="1.3558689521999999E-2"/>
    <n v="5.9379669630000003E-3"/>
    <n v="2.1815699490000001E-3"/>
    <s v="2,249806644E-7"/>
    <n v="4.3357602216000002"/>
    <n v="161.5338939474"/>
    <n v="7.7554818085610003E-2"/>
    <n v="7.7554818085610003E-2"/>
    <n v="0"/>
    <n v="1.5461189588620999E-2"/>
    <n v="1.5461189588620999E-2"/>
    <n v="0"/>
    <n v="9.8358310810927E-3"/>
    <n v="9.8358310810927E-3"/>
    <n v="0"/>
    <s v="2,2658106729834E-5"/>
    <s v="9,9230157153151E-6"/>
    <s v="3,6456506112067E-6"/>
    <s v="3,7596818614756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30429"/>
    <x v="45"/>
    <m/>
    <n v="0.03"/>
    <m/>
    <m/>
    <m/>
    <m/>
    <m/>
    <m/>
    <x v="2"/>
    <x v="1"/>
    <n v="1"/>
    <n v="0.03"/>
    <n v="550"/>
    <n v="16.5"/>
    <m/>
    <n v="16.5"/>
    <n v="876.81"/>
    <n v="2.7573369862599999E-2"/>
    <s v="m²"/>
    <s v="kg"/>
    <n v="30358"/>
    <s v="Bauteile aus dem Energieausweis"/>
    <n v="10"/>
    <n v="1"/>
    <s v="ja"/>
    <n v="0"/>
    <n v="5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s v="6,9693E-8"/>
    <n v="1"/>
    <n v="0"/>
    <n v="6"/>
    <n v="206.971677"/>
    <n v="181.25004150000001"/>
    <n v="25.721635500000001"/>
    <n v="400.880832"/>
    <n v="157.67990699999999"/>
    <n v="243.20092500000001"/>
    <n v="-2.9233497150000001"/>
    <n v="10.534875285"/>
    <n v="-13.458225000000001"/>
    <n v="5.6992348050000002E-2"/>
    <n v="2.560839765E-2"/>
    <n v="1.1594377905E-2"/>
    <s v="1,1499345E-6"/>
    <n v="14.010810687499999"/>
    <n v="161.5338939474"/>
    <n v="0.34587312733355002"/>
    <n v="0.30288935950855"/>
    <n v="4.2983767824998999E-2"/>
    <n v="0.66991730009471995"/>
    <n v="0.26350099367342"/>
    <n v="0.4064163064213"/>
    <n v="-4.8852486623891999E-3"/>
    <n v="1.7604970466040998E-2"/>
    <n v="-2.2490219128430002E-2"/>
    <s v="9,5240672249739E-5"/>
    <s v="4,2794534544969E-5"/>
    <s v="1,9375519412201E-5"/>
    <s v="1,921670865834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10458"/>
    <x v="11"/>
    <m/>
    <n v="1.7999999999999999E-2"/>
    <m/>
    <m/>
    <m/>
    <m/>
    <m/>
    <m/>
    <x v="2"/>
    <x v="1"/>
    <n v="1"/>
    <n v="1.7999999999999999E-2"/>
    <n v="1050"/>
    <n v="18.899999999999999"/>
    <m/>
    <n v="18.899999999999999"/>
    <n v="1004.346"/>
    <n v="3.1584041842614999E-2"/>
    <s v="m²"/>
    <s v="kg"/>
    <n v="30358"/>
    <s v="Bauteile aus dem Energieausweis"/>
    <n v="11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161.5338939474"/>
    <n v="0.17058907374082"/>
    <n v="0.17058907374082"/>
    <n v="0"/>
    <n v="0.10207246629145"/>
    <n v="0.10207246629145"/>
    <n v="0"/>
    <n v="2.6683193445959002E-3"/>
    <n v="1.1890859562639E-2"/>
    <n v="-9.2225402180434995E-3"/>
    <s v="4,9443813132083E-5"/>
    <s v="1,5325943427687E-5"/>
    <s v="4,179170411775E-6"/>
    <s v="1,2175532848575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10458"/>
    <x v="11"/>
    <m/>
    <n v="1.7999999999999999E-2"/>
    <m/>
    <m/>
    <m/>
    <m/>
    <m/>
    <m/>
    <x v="2"/>
    <x v="1"/>
    <n v="1"/>
    <n v="1.7999999999999999E-2"/>
    <n v="1050"/>
    <n v="18.899999999999999"/>
    <m/>
    <n v="18.899999999999999"/>
    <n v="1004.346"/>
    <n v="3.1584041842614999E-2"/>
    <s v="m²"/>
    <s v="kg"/>
    <n v="30358"/>
    <s v="Bauteile aus dem Energieausweis"/>
    <n v="12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s v="7,285881015E-7"/>
    <n v="7.6138048664999998"/>
    <n v="161.5338939474"/>
    <n v="0.17058907374082"/>
    <n v="0.17058907374082"/>
    <n v="0"/>
    <n v="0.10207246629145"/>
    <n v="0.10207246629145"/>
    <n v="0"/>
    <n v="2.6683193445959002E-3"/>
    <n v="1.1890859562639E-2"/>
    <n v="-9.2225402180434995E-3"/>
    <s v="4,9443813132083E-5"/>
    <s v="1,5325943427687E-5"/>
    <s v="4,179170411775E-6"/>
    <s v="1,2175532848575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29"/>
    <x v="11"/>
    <n v="114"/>
    <s v="opake Bauteile"/>
    <s v="nein"/>
    <n v="53.14"/>
    <m/>
    <n v="2142710240"/>
    <x v="47"/>
    <m/>
    <n v="0.16"/>
    <m/>
    <m/>
    <m/>
    <m/>
    <m/>
    <m/>
    <x v="2"/>
    <x v="1"/>
    <n v="1"/>
    <n v="0.16"/>
    <n v="70"/>
    <n v="11.2"/>
    <m/>
    <n v="11.2"/>
    <n v="595.16800000000001"/>
    <n v="1.8716469240068E-2"/>
    <s v="m²"/>
    <s v="kg"/>
    <n v="30358"/>
    <s v="Bauteile aus dem Energieausweis"/>
    <n v="13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1"/>
    <n v="0"/>
    <n v="6"/>
    <n v="239.04244"/>
    <n v="239.04244"/>
    <n v="0"/>
    <n v="8.7886128960000001"/>
    <n v="8.7886128960000001"/>
    <n v="0"/>
    <n v="19.498428319999999"/>
    <n v="19.498428319999999"/>
    <n v="0"/>
    <n v="0.13226444000000001"/>
    <n v="3.483306848E-2"/>
    <n v="5.6708197279999997E-2"/>
    <s v="7,85232E-7"/>
    <n v="28.853078053333"/>
    <n v="161.5338939474"/>
    <n v="0.39946700672596003"/>
    <n v="0.39946700672596003"/>
    <n v="0"/>
    <n v="1.4686768118826E-2"/>
    <n v="1.4686768118826E-2"/>
    <n v="0"/>
    <n v="3.2584083382227999E-2"/>
    <n v="3.2584083382227999E-2"/>
    <n v="0"/>
    <n v="2.2102886810847E-4"/>
    <s v="5,8210004887777E-5"/>
    <s v="9,4765824111681E-5"/>
    <s v="1,312211658421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m/>
    <x v="48"/>
    <m/>
    <n v="1.4999999999999999E-2"/>
    <m/>
    <m/>
    <m/>
    <m/>
    <m/>
    <m/>
    <x v="3"/>
    <x v="2"/>
    <n v="1"/>
    <n v="1.4999999999999999E-2"/>
    <n v="2300"/>
    <n v="34.5"/>
    <m/>
    <n v="34.5"/>
    <n v="20432.625"/>
    <n v="0.64255235043945003"/>
    <s v="m²"/>
    <s v="kg"/>
    <n v="30358"/>
    <s v="Bauteile aus dem Energieausweis"/>
    <n v="1"/>
    <n v="1"/>
    <s v="ja"/>
    <n v="0"/>
    <n v="50"/>
    <n v="50"/>
    <s v="Tertiärkonstruktion - Boden- und Wandbeläge, 50a"/>
    <m/>
    <m/>
    <n v="2"/>
    <m/>
    <n v="3"/>
    <m/>
    <n v="100"/>
    <n v="0"/>
    <n v="0"/>
    <m/>
    <n v="14.175217999999999"/>
    <n v="14.175217999999999"/>
    <n v="0"/>
    <n v="0.71473628"/>
    <n v="0.71473628"/>
    <n v="0"/>
    <n v="0.84119993000000004"/>
    <n v="0.84119993000000004"/>
    <n v="0"/>
    <n v="2.9113336000000001E-3"/>
    <n v="1.2597520000000001E-3"/>
    <n v="2.6370855E-4"/>
    <s v="9,4436285E-8"/>
    <n v="0"/>
    <n v="0"/>
    <n v="6"/>
    <n v="489.04502100000002"/>
    <n v="489.04502100000002"/>
    <n v="0"/>
    <n v="24.658401659999999"/>
    <n v="24.658401659999999"/>
    <n v="0"/>
    <n v="29.021397584999999"/>
    <n v="29.021397584999999"/>
    <n v="0"/>
    <n v="0.1004410092"/>
    <n v="4.3461444000000002E-2"/>
    <n v="9.0979449749999993E-3"/>
    <s v="3,2580518325E-6"/>
    <n v="34.530534857500001"/>
    <n v="211.0447588765"/>
    <n v="9.1083196438915"/>
    <n v="9.1083196438915"/>
    <n v="0"/>
    <n v="0.45925547665834998"/>
    <n v="0.45925547665834998"/>
    <n v="0"/>
    <n v="0.54051499221099997"/>
    <n v="0.54051499221099997"/>
    <n v="0"/>
    <n v="1.8706842475933001E-3"/>
    <n v="8.0945660857078996E-4"/>
    <n v="1.6944654863348E-4"/>
    <s v="6,0680256893519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12579"/>
    <x v="49"/>
    <m/>
    <n v="2.5000000000000001E-2"/>
    <m/>
    <m/>
    <m/>
    <m/>
    <m/>
    <m/>
    <x v="3"/>
    <x v="2"/>
    <n v="1"/>
    <n v="2.5000000000000001E-2"/>
    <n v="1100"/>
    <n v="27.5"/>
    <m/>
    <n v="27.5"/>
    <n v="16286.875"/>
    <n v="0.51217940977056997"/>
    <s v="m²"/>
    <s v="kg"/>
    <n v="30358"/>
    <s v="Bauteile aus dem Energieausweis"/>
    <n v="2"/>
    <n v="1"/>
    <s v="ja"/>
    <n v="0"/>
    <n v="5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s v="3,8549635E-8"/>
    <n v="0"/>
    <n v="0"/>
    <n v="6"/>
    <n v="148.53068999999999"/>
    <n v="148.53068999999999"/>
    <n v="0"/>
    <n v="88.873768499999997"/>
    <n v="88.873768499999997"/>
    <n v="0"/>
    <n v="2.3232866250000002"/>
    <n v="10.353286625000001"/>
    <n v="-8.0299999999999994"/>
    <n v="4.3050375500000002E-2"/>
    <n v="1.3344189649999999E-2"/>
    <n v="3.6387738750000001E-3"/>
    <s v="1,0601149625E-6"/>
    <n v="11.078287504166999"/>
    <n v="211.0447588765"/>
    <n v="2.7663404049824001"/>
    <n v="2.7663404049824001"/>
    <n v="0"/>
    <n v="1.6552477925242"/>
    <n v="1.6552477925242"/>
    <n v="0"/>
    <n v="4.3270529902559002E-2"/>
    <n v="0.19282691755556999"/>
    <n v="-0.14955638765300999"/>
    <n v="8.0180057869059997E-4"/>
    <n v="2.4853160650194998E-4"/>
    <s v="6,7771092930403E-5"/>
    <s v="1,9744329301171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19798"/>
    <x v="34"/>
    <m/>
    <n v="8.8000000000000005E-3"/>
    <m/>
    <m/>
    <m/>
    <m/>
    <m/>
    <m/>
    <x v="3"/>
    <x v="2"/>
    <n v="1"/>
    <n v="8.8000000000000005E-3"/>
    <n v="300"/>
    <n v="2.64"/>
    <m/>
    <n v="2.64"/>
    <n v="1563.54"/>
    <n v="4.9169223337975E-2"/>
    <s v="m²"/>
    <s v="kg"/>
    <n v="30358"/>
    <s v="Bauteile aus dem Energieausweis"/>
    <n v="3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211.0447588765"/>
    <n v="8.4559659831655996"/>
    <n v="4.2795321528379997"/>
    <n v="4.1764338303275998"/>
    <n v="0.12806388748797001"/>
    <n v="0.12806388748797001"/>
    <n v="0"/>
    <n v="0.2806178440623"/>
    <n v="0.28165039775238998"/>
    <n v="-1.0325536900975001E-3"/>
    <n v="8.1835284621253998E-4"/>
    <n v="1.5797684988395999E-4"/>
    <n v="2.4373604897186E-4"/>
    <s v="3,8466926279789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23421"/>
    <x v="44"/>
    <m/>
    <n v="0.03"/>
    <m/>
    <m/>
    <m/>
    <m/>
    <m/>
    <m/>
    <x v="3"/>
    <x v="2"/>
    <n v="1"/>
    <n v="0.03"/>
    <n v="150"/>
    <n v="4.5"/>
    <m/>
    <n v="4.5"/>
    <n v="2665.125"/>
    <n v="8.3811176144275995E-2"/>
    <s v="m²"/>
    <s v="kg"/>
    <n v="30358"/>
    <s v="Bauteile aus dem Energieausweis"/>
    <n v="4"/>
    <n v="1"/>
    <s v="ja"/>
    <n v="0"/>
    <n v="5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s v="7,011E-8"/>
    <n v="0"/>
    <n v="0"/>
    <n v="6"/>
    <n v="96.043837499999995"/>
    <n v="96.043837499999995"/>
    <n v="0"/>
    <n v="3.5311391099999998"/>
    <n v="3.5311391099999998"/>
    <n v="0"/>
    <n v="7.8341899499999998"/>
    <n v="7.8341899499999998"/>
    <n v="0"/>
    <n v="5.3141962500000001E-2"/>
    <n v="1.3995429300000001E-2"/>
    <n v="2.2784543550000001E-2"/>
    <s v="3,15495E-7"/>
    <n v="11.592754575000001"/>
    <n v="211.0447588765"/>
    <n v="1.7887882182854999"/>
    <n v="1.7887882182854999"/>
    <n v="0"/>
    <n v="6.5766427097367006E-2"/>
    <n v="6.5766427097367006E-2"/>
    <n v="0"/>
    <n v="0.14590948307714999"/>
    <n v="0.14590948307714999"/>
    <n v="0"/>
    <n v="9.8975341771999998E-4"/>
    <n v="2.6066075339489997E-4"/>
    <n v="4.2435542063020998E-4"/>
    <s v="5,876001559475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32300"/>
    <x v="30"/>
    <m/>
    <n v="1E-3"/>
    <m/>
    <m/>
    <m/>
    <m/>
    <m/>
    <m/>
    <x v="3"/>
    <x v="2"/>
    <n v="1"/>
    <n v="1E-3"/>
    <n v="300"/>
    <n v="0.3"/>
    <m/>
    <n v="0.3"/>
    <n v="177.67500000000001"/>
    <n v="5.5874117429516998E-3"/>
    <s v="m²"/>
    <s v="kg"/>
    <n v="30358"/>
    <s v="Bauteile aus dem Energieausweis"/>
    <n v="5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s v="2,34701244E-8"/>
    <n v="2.670871268"/>
    <n v="211.0447588765"/>
    <n v="0.96090522535973"/>
    <n v="0.48631047191340998"/>
    <n v="0.47459475344632002"/>
    <n v="1.4552714487269001E-2"/>
    <n v="1.4552714487269001E-2"/>
    <n v="0"/>
    <n v="3.1888391370715002E-2"/>
    <n v="3.2005727017317E-2"/>
    <n v="-1.1733564660199E-4"/>
    <s v="9,2994641615062E-5"/>
    <s v="1,7951914759541E-5"/>
    <s v="2,7697278292257E-5"/>
    <s v="4,3712416227032E-10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m/>
    <x v="19"/>
    <m/>
    <n v="0.10299999999999999"/>
    <m/>
    <m/>
    <m/>
    <m/>
    <m/>
    <m/>
    <x v="3"/>
    <x v="2"/>
    <n v="1"/>
    <n v="0.10299999999999999"/>
    <n v="1800"/>
    <n v="185.4"/>
    <m/>
    <n v="185.4"/>
    <n v="109803.15"/>
    <n v="3.4530204571441998"/>
    <s v="m²"/>
    <s v="kg"/>
    <n v="30358"/>
    <s v="Bauteile aus dem Energieausweis"/>
    <n v="6"/>
    <n v="1"/>
    <s v="ja"/>
    <n v="0"/>
    <n v="50"/>
    <n v="50"/>
    <s v="Sekundärkonstruktion"/>
    <m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s v="4,833208E-5"/>
    <s v="1,4589555E-5"/>
    <s v="5,2414253E-6"/>
    <s v="7,5267096E-10"/>
    <n v="0"/>
    <n v="0"/>
    <n v="6"/>
    <n v="19.227537359999999"/>
    <n v="19.227537359999999"/>
    <n v="0"/>
    <n v="0.48574275317999999"/>
    <n v="0.48574275317999999"/>
    <n v="0"/>
    <n v="1.3125078376199999"/>
    <n v="1.3125078376199999"/>
    <n v="0"/>
    <n v="8.9607676320000006E-3"/>
    <n v="2.704903497E-3"/>
    <n v="9.7176025062000002E-4"/>
    <s v="1,39545195984E-7"/>
    <n v="2.0544382358700002"/>
    <n v="211.0447588765"/>
    <n v="0.35810722677769002"/>
    <n v="0.35810722677769002"/>
    <n v="0"/>
    <n v="9.0468158772386998E-3"/>
    <n v="9.0468158772386998E-3"/>
    <n v="0"/>
    <n v="2.444507234878E-2"/>
    <n v="2.444507234878E-2"/>
    <n v="0"/>
    <n v="1.6689166097633E-4"/>
    <s v="5,037803187563E-5"/>
    <s v="1,8098748785493E-5"/>
    <s v="2,5989882223783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18762"/>
    <x v="50"/>
    <m/>
    <n v="1.9000000000000001E-4"/>
    <m/>
    <m/>
    <m/>
    <m/>
    <m/>
    <m/>
    <x v="3"/>
    <x v="2"/>
    <n v="1"/>
    <n v="1.9000000000000001E-4"/>
    <n v="1250"/>
    <n v="0.23749999999999999"/>
    <m/>
    <n v="0.23749999999999999"/>
    <n v="140.65937500000001"/>
    <n v="4.4233676298368E-3"/>
    <s v="m²"/>
    <s v="kg"/>
    <n v="30358"/>
    <s v="Bauteile aus dem Energieausweis"/>
    <n v="7"/>
    <n v="1"/>
    <s v="ja"/>
    <n v="1"/>
    <n v="35"/>
    <n v="35"/>
    <s v="Gebäudeabdichtung/Folien, 35a"/>
    <m/>
    <m/>
    <n v="5"/>
    <m/>
    <n v="5"/>
    <m/>
    <n v="0"/>
    <n v="100"/>
    <n v="0"/>
    <m/>
    <n v="551.87888999999996"/>
    <n v="551.87888999999996"/>
    <n v="0"/>
    <n v="57.879454000000003"/>
    <n v="57.879454000000003"/>
    <n v="0"/>
    <n v="33.434156999999999"/>
    <n v="33.490157000000004"/>
    <n v="-5.6000000000000001E-2"/>
    <n v="0.15700528"/>
    <n v="9.3272171000000001E-2"/>
    <n v="1.0878103E-2"/>
    <s v="1,7946424E-6"/>
    <n v="0"/>
    <n v="0"/>
    <n v="6"/>
    <n v="262.14247275000002"/>
    <n v="262.14247275000002"/>
    <n v="0"/>
    <n v="27.492740649999998"/>
    <n v="27.492740649999998"/>
    <n v="0"/>
    <n v="15.894524575"/>
    <n v="15.907824574999999"/>
    <n v="-1.3299999999999999E-2"/>
    <n v="7.4577508000000001E-2"/>
    <n v="4.4304281224999999E-2"/>
    <n v="5.1670989250000004E-3"/>
    <s v="8,5245514E-7"/>
    <n v="21.3308375875"/>
    <n v="211.0447588765"/>
    <n v="4.8823264352324998"/>
    <n v="4.8823264352324998"/>
    <n v="0"/>
    <n v="0.51204420651244997"/>
    <n v="0.51204420651244997"/>
    <n v="0"/>
    <n v="0.29603084419663001"/>
    <n v="0.29627855278389997"/>
    <n v="-2.4770858727086E-4"/>
    <n v="1.3889841465309001E-3"/>
    <n v="8.2515420393200001E-4"/>
    <s v="9,623569736846E-5"/>
    <s v="1,5876726198585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m/>
    <x v="9"/>
    <m/>
    <n v="0.3"/>
    <m/>
    <m/>
    <m/>
    <m/>
    <m/>
    <m/>
    <x v="3"/>
    <x v="2"/>
    <n v="1"/>
    <n v="0.3"/>
    <n v="2325"/>
    <n v="697.5"/>
    <m/>
    <n v="697.5"/>
    <n v="413094.375"/>
    <n v="12.990732302363"/>
    <s v="m²"/>
    <s v="kg"/>
    <n v="30358"/>
    <s v="Bauteile aus dem Energieausweis"/>
    <n v="8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1092.28841775"/>
    <n v="1092.28841775"/>
    <n v="0"/>
    <n v="33.114482797500003"/>
    <n v="33.114482797500003"/>
    <n v="0"/>
    <n v="106.65634319999999"/>
    <n v="106.65634319999999"/>
    <n v="0"/>
    <n v="0.27294673229999999"/>
    <n v="0.171976318425"/>
    <n v="5.3840516737499997E-2"/>
    <s v="3,147869952E-6"/>
    <n v="90.578568765"/>
    <n v="211.0447588765"/>
    <n v="20.343550440087999"/>
    <n v="20.343550440087999"/>
    <n v="0"/>
    <n v="0.61674750014840996"/>
    <n v="0.61674750014840996"/>
    <n v="0"/>
    <n v="1.9864430148532"/>
    <n v="1.9864430148532"/>
    <n v="0"/>
    <n v="5.0835525908444002E-3"/>
    <n v="3.2030083369247999E-3"/>
    <n v="1.0027637848857001E-3"/>
    <s v="5,862815178363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19798"/>
    <x v="34"/>
    <m/>
    <n v="8.8000000000000005E-3"/>
    <m/>
    <m/>
    <m/>
    <m/>
    <m/>
    <m/>
    <x v="3"/>
    <x v="2"/>
    <n v="1"/>
    <n v="8.8000000000000005E-3"/>
    <n v="300"/>
    <n v="2.64"/>
    <m/>
    <n v="2.64"/>
    <n v="1563.54"/>
    <n v="4.9169223337975E-2"/>
    <s v="m²"/>
    <s v="kg"/>
    <n v="30358"/>
    <s v="Bauteile aus dem Energieausweis"/>
    <n v="9"/>
    <n v="1"/>
    <s v="ja"/>
    <n v="1"/>
    <n v="25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s v="3,9116874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s v="2,0653709472E-7"/>
    <n v="23.503667158399999"/>
    <n v="211.0447588765"/>
    <n v="8.4559659831655996"/>
    <n v="4.2795321528379997"/>
    <n v="4.1764338303275998"/>
    <n v="0.12806388748797001"/>
    <n v="0.12806388748797001"/>
    <n v="0"/>
    <n v="0.2806178440623"/>
    <n v="0.28165039775238998"/>
    <n v="-1.0325536900975001E-3"/>
    <n v="8.1835284621253998E-4"/>
    <n v="1.5797684988395999E-4"/>
    <n v="2.4373604897186E-4"/>
    <s v="3,8466926279789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30"/>
    <x v="12"/>
    <n v="118"/>
    <s v="opake Bauteile"/>
    <s v="nein"/>
    <n v="592.25"/>
    <m/>
    <n v="2142702349"/>
    <x v="51"/>
    <m/>
    <n v="0.15"/>
    <m/>
    <m/>
    <m/>
    <m/>
    <m/>
    <m/>
    <x v="3"/>
    <x v="2"/>
    <n v="1"/>
    <n v="0.15"/>
    <n v="30"/>
    <n v="4.5"/>
    <m/>
    <n v="4.5"/>
    <n v="2665.125"/>
    <n v="8.3811176144275995E-2"/>
    <s v="m²"/>
    <s v="kg"/>
    <n v="30358"/>
    <s v="Bauteile aus dem Energieausweis"/>
    <n v="10"/>
    <n v="1"/>
    <s v="ja"/>
    <n v="0"/>
    <n v="50"/>
    <n v="50"/>
    <s v="Sekundärkonstruktion"/>
    <m/>
    <m/>
    <n v="4"/>
    <m/>
    <n v="4"/>
    <m/>
    <n v="0"/>
    <n v="100"/>
    <n v="0"/>
    <m/>
    <n v="93.564520999999999"/>
    <n v="53.564520999999999"/>
    <n v="40"/>
    <n v="0.87851628000000004"/>
    <n v="0.87851628000000004"/>
    <n v="0"/>
    <n v="4.2353810000000003"/>
    <n v="4.2353810000000003"/>
    <n v="0"/>
    <n v="1.5538751999999999E-2"/>
    <n v="2.5722509999999998E-3"/>
    <n v="8.1632105000000003E-3"/>
    <s v="6,1317667E-8"/>
    <n v="0"/>
    <n v="0"/>
    <n v="6"/>
    <n v="421.0403445"/>
    <n v="241.0403445"/>
    <n v="180"/>
    <n v="3.9533232599999999"/>
    <n v="3.9533232599999999"/>
    <n v="0"/>
    <n v="19.0592145"/>
    <n v="19.0592145"/>
    <n v="0"/>
    <n v="6.9924384000000006E-2"/>
    <n v="1.15751295E-2"/>
    <n v="3.6734447250000003E-2"/>
    <s v="2,759295015E-7"/>
    <n v="26.534465099999998"/>
    <n v="211.0447588765"/>
    <n v="7.8417525503857997"/>
    <n v="4.4893055046147001"/>
    <n v="3.3524470457710001"/>
    <n v="7.3629482688694001E-2"/>
    <n v="7.3629482688694001E-2"/>
    <n v="0"/>
    <n v="0.35497226302911999"/>
    <n v="0.35497226302911999"/>
    <n v="0"/>
    <n v="1.3023210809342E-3"/>
    <n v="2.1558338164829E-4"/>
    <n v="6.8416827311829998E-4"/>
    <s v="5,139105789693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3"/>
    <x v="13"/>
    <n v="101"/>
    <s v="opake Bauteile"/>
    <s v="nein"/>
    <n v="2146"/>
    <m/>
    <m/>
    <x v="9"/>
    <m/>
    <n v="0.25"/>
    <m/>
    <m/>
    <m/>
    <m/>
    <m/>
    <m/>
    <x v="4"/>
    <x v="0"/>
    <n v="1"/>
    <n v="0.25"/>
    <n v="2325"/>
    <n v="581.25"/>
    <m/>
    <n v="581.25"/>
    <n v="1247362.5"/>
    <n v="39.226272014731997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910.24034812499997"/>
    <n v="910.24034812499997"/>
    <n v="0"/>
    <n v="27.59540233125"/>
    <n v="27.59540233125"/>
    <n v="0"/>
    <n v="88.880285999999998"/>
    <n v="88.880285999999998"/>
    <n v="0"/>
    <n v="0.22745561025"/>
    <n v="0.14331359868749999"/>
    <n v="4.4867097281249997E-2"/>
    <s v="2,62322496E-6"/>
    <n v="75.482140637499995"/>
    <n v="39.148807304167001"/>
    <n v="61.428534183803997"/>
    <n v="61.428534183803997"/>
    <n v="0"/>
    <n v="1.8623049603468"/>
    <n v="1.8623049603468"/>
    <n v="0"/>
    <n v="5.9981802587238002"/>
    <n v="5.9981802587238002"/>
    <n v="0"/>
    <n v="1.5350082819688001E-2"/>
    <n v="9.6716700310126007E-3"/>
    <n v="3.0279035913390001E-3"/>
    <s v="1,7703111541814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78"/>
    <x v="14"/>
    <n v="118"/>
    <s v="opake Bauteile"/>
    <s v="nein"/>
    <n v="13780"/>
    <m/>
    <m/>
    <x v="9"/>
    <m/>
    <n v="0.6"/>
    <m/>
    <m/>
    <m/>
    <m/>
    <m/>
    <m/>
    <x v="3"/>
    <x v="2"/>
    <n v="1"/>
    <n v="0.6"/>
    <n v="2325"/>
    <n v="1395"/>
    <m/>
    <n v="1395"/>
    <n v="19223100"/>
    <n v="604.51596834633006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2184.5768355"/>
    <n v="2184.5768355"/>
    <n v="0"/>
    <n v="66.228965595000005"/>
    <n v="66.228965595000005"/>
    <n v="0"/>
    <n v="213.31268639999999"/>
    <n v="213.31268639999999"/>
    <n v="0"/>
    <n v="0.54589346459999999"/>
    <n v="0.34395263684999999"/>
    <n v="0.10768103347499999"/>
    <s v="6,295739904E-6"/>
    <n v="181.15713753"/>
    <n v="144.82380419667001"/>
    <n v="946.67496855859997"/>
    <n v="946.67496855859997"/>
    <n v="0"/>
    <n v="28.699976537087998"/>
    <n v="28.699976537087998"/>
    <n v="0"/>
    <n v="92.437939196884003"/>
    <n v="92.437939196884003"/>
    <n v="0"/>
    <n v="0.23656008341692"/>
    <n v="0.14905007980692001"/>
    <n v="4.6663013780411003E-2"/>
    <s v="2,7282260247478E-6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90"/>
    <x v="15"/>
    <n v="101"/>
    <s v="opake Bauteile"/>
    <s v="nein"/>
    <n v="1181"/>
    <m/>
    <m/>
    <x v="52"/>
    <m/>
    <n v="1.4999999999999999E-2"/>
    <m/>
    <m/>
    <m/>
    <m/>
    <m/>
    <m/>
    <x v="4"/>
    <x v="0"/>
    <n v="1"/>
    <n v="1.4999999999999999E-2"/>
    <n v="2500"/>
    <n v="37.5"/>
    <m/>
    <n v="37.5"/>
    <n v="44287.5"/>
    <n v="1.3927254682199"/>
    <s v="m²"/>
    <s v="kg"/>
    <n v="30358"/>
    <s v="Bauteile aus dem Energieausweis"/>
    <n v="1"/>
    <n v="1"/>
    <s v="ja"/>
    <n v="1"/>
    <n v="35"/>
    <n v="35"/>
    <s v="Fenster"/>
    <m/>
    <m/>
    <n v="1"/>
    <m/>
    <n v="2"/>
    <m/>
    <n v="100"/>
    <n v="0"/>
    <n v="0"/>
    <m/>
    <n v="11.632279"/>
    <n v="11.632279"/>
    <n v="0"/>
    <n v="0.31468941"/>
    <n v="0.31468941"/>
    <n v="0"/>
    <n v="0.97923126999999999"/>
    <n v="0.97923126999999999"/>
    <n v="0"/>
    <n v="8.4920903999999992E-3"/>
    <n v="1.0705279E-3"/>
    <n v="3.9791689999999998E-4"/>
    <s v="8,8125E-8"/>
    <n v="0"/>
    <n v="0"/>
    <n v="6"/>
    <n v="872.42092500000001"/>
    <n v="872.42092500000001"/>
    <n v="0"/>
    <n v="23.601705750000001"/>
    <n v="23.601705750000001"/>
    <n v="0"/>
    <n v="73.442345250000002"/>
    <n v="73.442345250000002"/>
    <n v="0"/>
    <n v="0.63690678000000001"/>
    <n v="8.0289592500000007E-2"/>
    <n v="2.98437675E-2"/>
    <s v="6,609375E-6"/>
    <n v="126.241992375"/>
    <n v="89.908659041666994"/>
    <n v="32.401142433479002"/>
    <n v="32.401142433479002"/>
    <n v="0"/>
    <n v="0.87655191177220004"/>
    <n v="0.87655191177220004"/>
    <n v="0"/>
    <n v="2.7276006580127001"/>
    <n v="2.7276006580127001"/>
    <n v="0"/>
    <n v="2.3654301157012E-2"/>
    <n v="2.9819029415399999E-3"/>
    <n v="1.1083780017301999E-3"/>
    <s v="2,4546786377376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5"/>
    <x v="16"/>
    <n v="160"/>
    <s v="opake Bauteile"/>
    <s v="nein"/>
    <n v="4035"/>
    <m/>
    <m/>
    <x v="9"/>
    <m/>
    <n v="0.2"/>
    <m/>
    <m/>
    <m/>
    <m/>
    <m/>
    <m/>
    <x v="5"/>
    <x v="0"/>
    <n v="1"/>
    <n v="0.2"/>
    <n v="2325"/>
    <n v="465"/>
    <m/>
    <n v="465"/>
    <n v="1876275"/>
    <n v="59.003917084602001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s v="2,098579968E-6"/>
    <n v="60.385712509999998"/>
    <n v="24.052379176666999"/>
    <n v="92.400423273681"/>
    <n v="92.400423273681"/>
    <n v="0"/>
    <n v="2.8012676663558"/>
    <n v="2.8012676663558"/>
    <n v="0"/>
    <n v="9.0224258504941997"/>
    <n v="9.0224258504941997"/>
    <n v="0"/>
    <n v="2.3089500159343999E-2"/>
    <n v="1.4548066570413999E-2"/>
    <n v="4.5545539575220003E-3"/>
    <s v="2,6628911489737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0"/>
    <x v="17"/>
    <n v="114"/>
    <s v="opake Bauteile"/>
    <s v="nein"/>
    <n v="7817"/>
    <m/>
    <m/>
    <x v="9"/>
    <m/>
    <n v="0.35"/>
    <m/>
    <m/>
    <m/>
    <m/>
    <m/>
    <m/>
    <x v="2"/>
    <x v="1"/>
    <n v="1"/>
    <n v="0.35"/>
    <n v="2325"/>
    <n v="813.75"/>
    <m/>
    <n v="813.75"/>
    <n v="6361083.75"/>
    <n v="200.03936424736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s v="3,672514944E-6"/>
    <n v="105.6749968925"/>
    <n v="69.341663559167003"/>
    <n v="313.26262460424999"/>
    <n v="313.26262460424999"/>
    <n v="0"/>
    <n v="9.4970610554722992"/>
    <n v="9.4970610554722992"/>
    <n v="0"/>
    <n v="30.588483278388001"/>
    <n v="30.588483278388001"/>
    <n v="0"/>
    <n v="7.8279700075535003E-2"/>
    <n v="4.9321911689373998E-2"/>
    <n v="1.5441179554004999E-2"/>
    <s v="9,0279269380852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4"/>
    <x v="18"/>
    <n v="101"/>
    <s v="opake Bauteile"/>
    <s v="nein"/>
    <n v="420.5"/>
    <m/>
    <m/>
    <x v="9"/>
    <m/>
    <n v="0.25"/>
    <m/>
    <m/>
    <m/>
    <m/>
    <m/>
    <m/>
    <x v="6"/>
    <x v="0"/>
    <n v="1"/>
    <n v="0.25"/>
    <n v="2325"/>
    <n v="581.25"/>
    <m/>
    <n v="581.25"/>
    <n v="244415.625"/>
    <n v="7.6862289758597004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910.24034812499997"/>
    <n v="910.24034812499997"/>
    <n v="0"/>
    <n v="27.59540233125"/>
    <n v="27.59540233125"/>
    <n v="0"/>
    <n v="88.880285999999998"/>
    <n v="88.880285999999998"/>
    <n v="0"/>
    <n v="0.22745561025"/>
    <n v="0.14331359868749999"/>
    <n v="4.4867097281249997E-2"/>
    <s v="2,62322496E-6"/>
    <n v="75.482140637499995"/>
    <n v="39.148807304167001"/>
    <n v="12.036672238717999"/>
    <n v="12.036672238717999"/>
    <n v="0"/>
    <n v="0.36491110709498997"/>
    <n v="0.36491110709498997"/>
    <n v="0"/>
    <n v="1.1753191047499001"/>
    <n v="1.1753191047499001"/>
    <n v="0"/>
    <n v="3.0077864984523E-3"/>
    <n v="1.8951245331038E-3"/>
    <n v="5.9330543343804004E-4"/>
    <s v="3,4688529372474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8"/>
    <x v="19"/>
    <n v="118"/>
    <s v="opake Bauteile"/>
    <s v="nein"/>
    <n v="1223"/>
    <m/>
    <m/>
    <x v="53"/>
    <m/>
    <n v="0.18"/>
    <m/>
    <m/>
    <m/>
    <m/>
    <m/>
    <m/>
    <x v="3"/>
    <x v="2"/>
    <n v="1"/>
    <n v="0.18"/>
    <n v="2400"/>
    <n v="432"/>
    <m/>
    <n v="432"/>
    <n v="528336"/>
    <n v="16.614778503583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0.78204929999999995"/>
    <n v="0.78204929999999995"/>
    <n v="0"/>
    <n v="2.7370759000000001E-2"/>
    <n v="2.7370759000000001E-2"/>
    <n v="0"/>
    <n v="0.10818627"/>
    <n v="0.10818627"/>
    <n v="0"/>
    <n v="1.8863659E-4"/>
    <n v="1.2395097999999999E-4"/>
    <s v="3,0961443E-5"/>
    <s v="2,196185E-9"/>
    <n v="0"/>
    <n v="0"/>
    <n v="6"/>
    <n v="337.84529759999998"/>
    <n v="337.84529759999998"/>
    <n v="0"/>
    <n v="11.824167888"/>
    <n v="11.824167888"/>
    <n v="0"/>
    <n v="46.736468639999998"/>
    <n v="46.736468639999998"/>
    <n v="0"/>
    <n v="8.1491006879999994E-2"/>
    <n v="5.3546823360000002E-2"/>
    <n v="1.3375343376E-2"/>
    <s v="9,4875192E-7"/>
    <n v="29.916388944000001"/>
    <n v="-6.4169443893332998"/>
    <n v="12.993575898382"/>
    <n v="12.993575898382"/>
    <n v="0"/>
    <n v="0.45475909825994998"/>
    <n v="0.45475909825994998"/>
    <n v="0"/>
    <n v="1.7974909131787999"/>
    <n v="1.7974909131787999"/>
    <n v="0"/>
    <n v="3.1341551605212001E-3"/>
    <n v="2.0594180780020999E-3"/>
    <n v="5.1441751759630997E-4"/>
    <s v="3,648912732789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79"/>
    <x v="20"/>
    <n v="118"/>
    <s v="opake Bauteile"/>
    <s v="nein"/>
    <n v="740"/>
    <m/>
    <m/>
    <x v="9"/>
    <m/>
    <n v="0.4"/>
    <m/>
    <m/>
    <m/>
    <m/>
    <m/>
    <m/>
    <x v="3"/>
    <x v="2"/>
    <n v="1"/>
    <n v="0.4"/>
    <n v="2325"/>
    <n v="930"/>
    <m/>
    <n v="930"/>
    <n v="688200"/>
    <n v="21.642081111576999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1456.3845570000001"/>
    <n v="1456.3845570000001"/>
    <n v="0"/>
    <n v="44.152643730000001"/>
    <n v="44.152643730000001"/>
    <n v="0"/>
    <n v="142.2084576"/>
    <n v="142.2084576"/>
    <n v="0"/>
    <n v="0.36392897639999999"/>
    <n v="0.22930175789999999"/>
    <n v="7.1787355649999995E-2"/>
    <s v="4,197159936E-6"/>
    <n v="120.77142502"/>
    <n v="84.438091686666993"/>
    <n v="33.891605066925997"/>
    <n v="33.891605066925997"/>
    <n v="0"/>
    <n v="1.0274785988120001"/>
    <n v="1.0274785988120001"/>
    <n v="0"/>
    <n v="3.3093408323992999"/>
    <n v="3.3093408323992999"/>
    <n v="0"/>
    <n v="8.4690112108621995E-3"/>
    <n v="5.3360938102139004E-3"/>
    <n v="1.6705674986698001E-3"/>
    <s v="9,7672339541044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6"/>
    <x v="21"/>
    <n v="160"/>
    <s v="opake Bauteile"/>
    <s v="nein"/>
    <n v="163"/>
    <m/>
    <m/>
    <x v="9"/>
    <m/>
    <n v="0.2"/>
    <m/>
    <m/>
    <m/>
    <m/>
    <m/>
    <m/>
    <x v="5"/>
    <x v="0"/>
    <n v="1"/>
    <n v="0.2"/>
    <n v="2325"/>
    <n v="465"/>
    <m/>
    <n v="465"/>
    <n v="75795"/>
    <n v="2.3835535278290001"/>
    <s v="m²"/>
    <s v="kg"/>
    <n v="30358"/>
    <s v="Bauteile aus dem Energieausweis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s v="2,098579968E-6"/>
    <n v="60.385712509999998"/>
    <n v="24.052379176666999"/>
    <n v="3.7326565039926001"/>
    <n v="3.7326565039926001"/>
    <n v="0"/>
    <n v="0.11316149432861999"/>
    <n v="0.11316149432861999"/>
    <n v="0"/>
    <n v="0.36447469978452002"/>
    <n v="0.36447469978452002"/>
    <n v="0"/>
    <n v="9.3273569416927997E-4"/>
    <n v="5.8769141288165995E-4"/>
    <n v="1.8398817721836E-4"/>
    <s v="1,0757156314318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612"/>
    <x v="22"/>
    <n v="129"/>
    <s v="transp. Bauteile"/>
    <s v="nein"/>
    <n v="2725.0650000000001"/>
    <n v="0.111"/>
    <n v="2142734844"/>
    <x v="54"/>
    <s v="Rahmen"/>
    <m/>
    <m/>
    <m/>
    <m/>
    <m/>
    <m/>
    <m/>
    <x v="7"/>
    <x v="3"/>
    <n v="0.34268617886178998"/>
    <m/>
    <m/>
    <m/>
    <m/>
    <n v="0.34268617886178998"/>
    <n v="933.84211200000004"/>
    <n v="2.9366879879846E-2"/>
    <s v="m²"/>
    <s v="m²"/>
    <n v="30358"/>
    <s v="Bauteile aus dem Energieausweis"/>
    <s v="R"/>
    <m/>
    <s v="ja"/>
    <n v="1"/>
    <n v="35"/>
    <n v="35"/>
    <s v="Fenster"/>
    <m/>
    <m/>
    <n v="3"/>
    <m/>
    <n v="3"/>
    <m/>
    <m/>
    <m/>
    <m/>
    <m/>
    <n v="2283.21"/>
    <n v="2197"/>
    <n v="86.21"/>
    <n v="1176.6300000000001"/>
    <n v="84.2"/>
    <n v="1092.43"/>
    <n v="79.231499999999997"/>
    <n v="131.19"/>
    <n v="-51.958500000000001"/>
    <n v="0.61399999999999999"/>
    <n v="0.34089999999999998"/>
    <n v="7.3200000000000001E-2"/>
    <s v="8,684026E-6"/>
    <m/>
    <n v="0"/>
    <n v="6"/>
    <n v="1564.8490208779999"/>
    <n v="1505.7630699187"/>
    <n v="59.085950959350001"/>
    <n v="806.42967726828999"/>
    <n v="57.708352520325001"/>
    <n v="748.72132474797002"/>
    <n v="72.108539785366006"/>
    <n v="89.913999609756004"/>
    <n v="-17.805459824389999"/>
    <n v="0.42081862764228001"/>
    <n v="0.23364343674797"/>
    <n v="5.0169256585366001E-2"/>
    <s v="5,9517913741528E-6"/>
    <n v="120.2888743458"/>
    <n v="210.54980087153999"/>
    <n v="134.10150762092999"/>
    <n v="129.03807019204001"/>
    <n v="5.0634374288829997"/>
    <n v="69.107903746046006"/>
    <n v="4.9453825717660003"/>
    <n v="64.162521174280002"/>
    <n v="6.1794229146369997"/>
    <n v="7.7052819428739996"/>
    <n v="-1.5258590282369999"/>
    <n v="3.6062528492451E-2"/>
    <n v="2.0022338702079E-2"/>
    <n v="4.2993112144094001E-3"/>
    <s v="5,1004549683092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612"/>
    <x v="22"/>
    <n v="129"/>
    <s v="transp. Bauteile"/>
    <s v="nein"/>
    <n v="2725.0650000000001"/>
    <n v="0.111"/>
    <n v="2142734844"/>
    <x v="55"/>
    <s v="Verglasung"/>
    <m/>
    <m/>
    <m/>
    <m/>
    <m/>
    <m/>
    <m/>
    <x v="7"/>
    <x v="3"/>
    <n v="0.65731382113821002"/>
    <m/>
    <m/>
    <m/>
    <m/>
    <n v="0.65731382113821002"/>
    <n v="1791.222888"/>
    <n v="5.6329251716083002E-2"/>
    <s v="m²"/>
    <s v="m²"/>
    <n v="30358"/>
    <s v="Bauteile aus dem Energieausweis"/>
    <s v="V"/>
    <m/>
    <s v="ja"/>
    <n v="1"/>
    <n v="35"/>
    <n v="35"/>
    <s v="Fenster"/>
    <m/>
    <m/>
    <n v="1"/>
    <m/>
    <n v="2"/>
    <m/>
    <m/>
    <m/>
    <m/>
    <m/>
    <n v="801.25"/>
    <n v="785.17"/>
    <n v="16.079999999999998"/>
    <n v="38.07"/>
    <n v="38.07"/>
    <n v="0"/>
    <n v="61.53"/>
    <n v="61.53"/>
    <n v="0"/>
    <n v="0.44500000000000001"/>
    <n v="8.09E-2"/>
    <n v="2.7E-2"/>
    <s v="5,4524938E-6"/>
    <m/>
    <n v="0"/>
    <n v="6"/>
    <n v="1053.3453983740001"/>
    <n v="1032.2061858862"/>
    <n v="21.139212487805001"/>
    <n v="50.047874341463"/>
    <n v="50.047874341463"/>
    <n v="0"/>
    <n v="80.889038829268003"/>
    <n v="80.889038829268003"/>
    <n v="0"/>
    <n v="0.58500930081300995"/>
    <n v="0.10635337626016"/>
    <n v="3.5494946341463003E-2"/>
    <s v="7,1679990688208E-6"/>
    <n v="126.59425985908"/>
    <n v="210.54980087153999"/>
    <n v="90.267625875023001"/>
    <n v="88.456077139833994"/>
    <n v="1.8115487351891999"/>
    <n v="4.2889092256626"/>
    <n v="4.2889092256626"/>
    <n v="0"/>
    <n v="6.9318777161811997"/>
    <n v="6.9318777161811997"/>
    <n v="0"/>
    <n v="5.0133034027313998E-2"/>
    <n v="9.1140729276621996E-3"/>
    <n v="3.0417795926684999E-3"/>
    <s v="6,1426979148116E-7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4"/>
    <x v="23"/>
    <n v="214"/>
    <s v="opake Bauteile"/>
    <s v="nein"/>
    <n v="500.80816399999998"/>
    <m/>
    <m/>
    <x v="56"/>
    <m/>
    <n v="7.4999999999999997E-2"/>
    <m/>
    <m/>
    <m/>
    <m/>
    <m/>
    <m/>
    <x v="8"/>
    <x v="0"/>
    <n v="1"/>
    <n v="7.4999999999999997E-2"/>
    <n v="90"/>
    <n v="6.75"/>
    <m/>
    <n v="6.75"/>
    <n v="3380.4551070000002"/>
    <n v="0.10630642781129999"/>
    <s v="m²"/>
    <s v="kg"/>
    <n v="30360"/>
    <s v="Innenwände"/>
    <n v="1"/>
    <n v="1"/>
    <s v="ja"/>
    <n v="0"/>
    <n v="50"/>
    <n v="50"/>
    <s v="Sekundärkonstruktion"/>
    <m/>
    <m/>
    <n v="4"/>
    <m/>
    <n v="3"/>
    <m/>
    <n v="100"/>
    <n v="0"/>
    <n v="0"/>
    <m/>
    <n v="45.731991999999998"/>
    <n v="45.731991999999998"/>
    <n v="0"/>
    <n v="2.1062276"/>
    <n v="2.1062276"/>
    <n v="0"/>
    <n v="2.4170243"/>
    <n v="2.4220242999999999"/>
    <n v="-5.0000000000000001E-3"/>
    <n v="1.4977371999999999E-2"/>
    <n v="6.8625474999999998E-3"/>
    <n v="1.6468655999999999E-3"/>
    <s v="2,6073394E-7"/>
    <n v="0"/>
    <n v="2"/>
    <n v="6"/>
    <n v="308.690946"/>
    <n v="308.690946"/>
    <n v="0"/>
    <n v="14.2170363"/>
    <n v="14.2170363"/>
    <n v="0"/>
    <n v="16.314914025"/>
    <n v="16.348664025000001"/>
    <n v="-3.3750000000000002E-2"/>
    <n v="0.10109726099999999"/>
    <n v="4.6322195625E-2"/>
    <n v="1.11163428E-2"/>
    <s v="1,759954095E-6"/>
    <n v="26.488485337499998"/>
    <n v="-4.4143363743333"/>
    <n v="4.8616047062150001"/>
    <n v="4.8616047062150001"/>
    <n v="0"/>
    <n v="0.22390553231356999"/>
    <n v="0.22390553231356999"/>
    <n v="0"/>
    <n v="0.25694521926611003"/>
    <n v="0.25747675140517001"/>
    <n v="-5.3153213905649996E-4"/>
    <n v="1.592190915321E-3"/>
    <n v="7.2953291041037E-4"/>
    <n v="1.7507239902130999E-4"/>
    <s v="2,7717693770566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4"/>
    <x v="23"/>
    <n v="214"/>
    <s v="opake Bauteile"/>
    <s v="nein"/>
    <n v="500.80816399999998"/>
    <m/>
    <m/>
    <x v="57"/>
    <m/>
    <n v="1.2500000000000001E-2"/>
    <m/>
    <m/>
    <m/>
    <m/>
    <m/>
    <m/>
    <x v="8"/>
    <x v="0"/>
    <n v="1"/>
    <n v="1.2500000000000001E-2"/>
    <n v="700"/>
    <n v="8.75"/>
    <m/>
    <n v="8.75"/>
    <n v="4382.0714349999998"/>
    <n v="0.13780462864428"/>
    <s v="m²"/>
    <s v="kg"/>
    <n v="30360"/>
    <s v="Innenwände"/>
    <n v="2"/>
    <n v="1"/>
    <s v="ja"/>
    <n v="0"/>
    <n v="50"/>
    <n v="50"/>
    <s v="Sekundärkonstruktion"/>
    <m/>
    <m/>
    <n v="4"/>
    <m/>
    <n v="3"/>
    <m/>
    <n v="100"/>
    <n v="0"/>
    <n v="0"/>
    <m/>
    <n v="3.5805927999999998"/>
    <n v="3.5805927999999998"/>
    <n v="0"/>
    <n v="0.20303582000000001"/>
    <n v="0.20303582000000001"/>
    <n v="0"/>
    <n v="0.18132751"/>
    <n v="0.21332751"/>
    <n v="-3.2000000000000001E-2"/>
    <n v="4.7190847999999997E-4"/>
    <n v="2.0462567000000001E-4"/>
    <s v="5,7137895E-5"/>
    <s v="2,5000607E-8"/>
    <n v="1"/>
    <n v="2"/>
    <n v="6"/>
    <n v="31.330186999999999"/>
    <n v="31.330186999999999"/>
    <n v="0"/>
    <n v="1.776563425"/>
    <n v="1.776563425"/>
    <n v="0"/>
    <n v="1.5866157125"/>
    <n v="1.8666157125"/>
    <n v="-0.28000000000000003"/>
    <n v="4.1291992000000001E-3"/>
    <n v="1.7904746125E-3"/>
    <n v="4.9995658125000003E-4"/>
    <s v="2,1875531125E-7"/>
    <n v="1.8593354120833001"/>
    <n v="-4.4143363743333"/>
    <n v="0.49342226113038001"/>
    <n v="0.49342226113038001"/>
    <n v="0"/>
    <n v="2.7979275776587001E-2"/>
    <n v="2.7979275776587001E-2"/>
    <n v="0"/>
    <n v="2.4987770178542E-2"/>
    <n v="2.9397518295158999E-2"/>
    <n v="-4.4097481166169E-3"/>
    <s v="6,5031172840486E-5"/>
    <s v="2,8198364465437E-5"/>
    <s v="7,8738664019908E-6"/>
    <s v="3,445199363516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4"/>
    <x v="23"/>
    <n v="214"/>
    <s v="opake Bauteile"/>
    <s v="nein"/>
    <n v="500.80816399999998"/>
    <m/>
    <n v="2142685464"/>
    <x v="7"/>
    <m/>
    <n v="2E-3"/>
    <m/>
    <m/>
    <m/>
    <m/>
    <m/>
    <m/>
    <x v="8"/>
    <x v="0"/>
    <n v="1"/>
    <n v="2E-3"/>
    <n v="1300"/>
    <n v="2.6"/>
    <m/>
    <n v="2.6"/>
    <n v="1302.1012264000001"/>
    <n v="4.0947661082870998E-2"/>
    <s v="m²"/>
    <s v="kg"/>
    <n v="30360"/>
    <s v="Innenwände"/>
    <n v="3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2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-4.4143363743333"/>
    <n v="0.17060838895412"/>
    <n v="0.17060838895412"/>
    <n v="0"/>
    <n v="2.6571599809832001E-2"/>
    <n v="2.6571599809832001E-2"/>
    <n v="0"/>
    <n v="1.4437591685443001E-2"/>
    <n v="1.4519487007608E-2"/>
    <n v="-8.1895322165743004E-5"/>
    <s v="4,0400735458086E-5"/>
    <s v="1,6694942880274E-5"/>
    <s v="5,267152105479E-6"/>
    <s v="1,221795164856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4"/>
    <x v="23"/>
    <n v="214"/>
    <s v="opake Bauteile"/>
    <s v="nein"/>
    <n v="500.80816399999998"/>
    <m/>
    <m/>
    <x v="57"/>
    <m/>
    <n v="1.2500000000000001E-2"/>
    <m/>
    <m/>
    <m/>
    <m/>
    <m/>
    <m/>
    <x v="8"/>
    <x v="0"/>
    <n v="1"/>
    <n v="1.2500000000000001E-2"/>
    <n v="700"/>
    <n v="8.75"/>
    <m/>
    <n v="8.75"/>
    <n v="4382.0714349999998"/>
    <n v="0.13780462864428"/>
    <s v="m²"/>
    <s v="kg"/>
    <n v="30360"/>
    <s v="Innenwände"/>
    <n v="4"/>
    <n v="1"/>
    <s v="ja"/>
    <n v="0"/>
    <n v="50"/>
    <n v="50"/>
    <s v="Sekundärkonstruktion"/>
    <m/>
    <m/>
    <n v="4"/>
    <m/>
    <n v="3"/>
    <m/>
    <n v="100"/>
    <n v="0"/>
    <n v="0"/>
    <m/>
    <n v="3.5805927999999998"/>
    <n v="3.5805927999999998"/>
    <n v="0"/>
    <n v="0.20303582000000001"/>
    <n v="0.20303582000000001"/>
    <n v="0"/>
    <n v="0.18132751"/>
    <n v="0.21332751"/>
    <n v="-3.2000000000000001E-2"/>
    <n v="4.7190847999999997E-4"/>
    <n v="2.0462567000000001E-4"/>
    <s v="5,7137895E-5"/>
    <s v="2,5000607E-8"/>
    <n v="1"/>
    <n v="2"/>
    <n v="6"/>
    <n v="31.330186999999999"/>
    <n v="31.330186999999999"/>
    <n v="0"/>
    <n v="1.776563425"/>
    <n v="1.776563425"/>
    <n v="0"/>
    <n v="1.5866157125"/>
    <n v="1.8666157125"/>
    <n v="-0.28000000000000003"/>
    <n v="4.1291992000000001E-3"/>
    <n v="1.7904746125E-3"/>
    <n v="4.9995658125000003E-4"/>
    <s v="2,1875531125E-7"/>
    <n v="1.8593354120833001"/>
    <n v="-4.4143363743333"/>
    <n v="0.49342226113038001"/>
    <n v="0.49342226113038001"/>
    <n v="0"/>
    <n v="2.7979275776587001E-2"/>
    <n v="2.7979275776587001E-2"/>
    <n v="0"/>
    <n v="2.4987770178542E-2"/>
    <n v="2.9397518295158999E-2"/>
    <n v="-4.4097481166169E-3"/>
    <s v="6,5031172840486E-5"/>
    <s v="2,8198364465437E-5"/>
    <s v="7,8738664019908E-6"/>
    <s v="3,445199363516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75504"/>
    <x v="23"/>
    <n v="214"/>
    <s v="opake Bauteile"/>
    <s v="nein"/>
    <n v="500.80816399999998"/>
    <m/>
    <n v="2142685464"/>
    <x v="7"/>
    <m/>
    <n v="2E-3"/>
    <m/>
    <m/>
    <m/>
    <m/>
    <m/>
    <m/>
    <x v="8"/>
    <x v="0"/>
    <n v="1"/>
    <n v="2E-3"/>
    <n v="1300"/>
    <n v="2.6"/>
    <m/>
    <n v="2.6"/>
    <n v="1302.1012264000001"/>
    <n v="4.0947661082870998E-2"/>
    <s v="m²"/>
    <s v="kg"/>
    <n v="30360"/>
    <s v="Innenwände"/>
    <n v="5"/>
    <n v="1"/>
    <s v="ja"/>
    <n v="1"/>
    <n v="35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s v="6,4315665E-5"/>
    <s v="1,4918986E-8"/>
    <n v="0"/>
    <n v="2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s v="7,75787272E-8"/>
    <n v="0.85592039866667002"/>
    <n v="-4.4143363743333"/>
    <n v="0.17060838895412"/>
    <n v="0.17060838895412"/>
    <n v="0"/>
    <n v="2.6571599809832001E-2"/>
    <n v="2.6571599809832001E-2"/>
    <n v="0"/>
    <n v="1.4437591685443001E-2"/>
    <n v="1.4519487007608E-2"/>
    <n v="-8.1895322165743004E-5"/>
    <s v="4,0400735458086E-5"/>
    <s v="1,6694942880274E-5"/>
    <s v="5,267152105479E-6"/>
    <s v="1,2217951648562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2"/>
    <x v="24"/>
    <n v="208"/>
    <s v="sonstige"/>
    <s v="ja"/>
    <n v="261"/>
    <m/>
    <m/>
    <x v="9"/>
    <m/>
    <m/>
    <m/>
    <m/>
    <m/>
    <m/>
    <m/>
    <m/>
    <x v="9"/>
    <x v="4"/>
    <n v="1"/>
    <m/>
    <m/>
    <m/>
    <n v="1507"/>
    <n v="5.7739463601532997"/>
    <n v="1507"/>
    <n v="4.7391188949645002E-2"/>
    <s v="Stk."/>
    <s v="kg"/>
    <n v="30359"/>
    <s v="Untergeschoss (Tiefgaragen, Keller)"/>
    <m/>
    <n v="1"/>
    <s v="nein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3"/>
    <n v="6"/>
    <n v="2359.9693843"/>
    <n v="2359.9693843"/>
    <n v="0"/>
    <n v="71.546273227"/>
    <n v="71.546273227"/>
    <n v="0"/>
    <n v="230.43886624000001"/>
    <n v="230.43886624000001"/>
    <n v="0"/>
    <n v="0.58972147036"/>
    <n v="0.37156747221000003"/>
    <n v="0.116326392435"/>
    <s v="6,8012043264E-6"/>
    <n v="195.70165323133"/>
    <n v="159.36831989800001"/>
    <n v="19.370071703223999"/>
    <n v="19.370071703223999"/>
    <n v="0"/>
    <n v="0.58723492420072998"/>
    <n v="0.58723492420072998"/>
    <n v="0"/>
    <n v="1.8913878256104999"/>
    <n v="1.8913878256104999"/>
    <n v="0"/>
    <n v="4.8402946418697997E-3"/>
    <n v="3.0497381140510999E-3"/>
    <n v="9.5477957359676004E-4"/>
    <s v="5,5822679881808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77"/>
    <x v="25"/>
    <n v="208"/>
    <s v="sonstige"/>
    <s v="ja"/>
    <n v="240"/>
    <m/>
    <m/>
    <x v="9"/>
    <m/>
    <m/>
    <m/>
    <m/>
    <m/>
    <m/>
    <m/>
    <m/>
    <x v="9"/>
    <x v="4"/>
    <n v="1"/>
    <m/>
    <m/>
    <m/>
    <n v="575"/>
    <n v="2.3958333333333002"/>
    <n v="575"/>
    <n v="1.8082238650328999E-2"/>
    <s v="Stk."/>
    <s v="kg"/>
    <n v="30359"/>
    <s v="Untergeschoss (Tiefgaragen, Keller)"/>
    <m/>
    <n v="1"/>
    <s v="nein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3"/>
    <n v="6"/>
    <n v="900.45281750000004"/>
    <n v="900.45281750000004"/>
    <n v="0"/>
    <n v="27.298677574999999"/>
    <n v="27.298677574999999"/>
    <n v="0"/>
    <n v="87.924583999999996"/>
    <n v="87.924583999999996"/>
    <n v="0"/>
    <n v="0.22500985100000001"/>
    <n v="0.14177259225"/>
    <n v="4.4384655374999998E-2"/>
    <s v="2,59501824E-6"/>
    <n v="74.670504716666997"/>
    <n v="38.337171383333001"/>
    <n v="6.7960498390524"/>
    <n v="6.7960498390524"/>
    <n v="0"/>
    <n v="0.20603319766937001"/>
    <n v="0.20603319766937001"/>
    <n v="0"/>
    <n v="0.66359929507572002"/>
    <n v="0.66359929507572002"/>
    <n v="0"/>
    <n v="1.6982324136864001E-3"/>
    <n v="1.0700100927194E-3"/>
    <n v="3.3498737985532002E-4"/>
    <s v="1,9585560675188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1"/>
    <x v="26"/>
    <n v="208"/>
    <s v="sonstige"/>
    <s v="ja"/>
    <n v="20"/>
    <m/>
    <m/>
    <x v="9"/>
    <m/>
    <m/>
    <m/>
    <m/>
    <m/>
    <m/>
    <m/>
    <m/>
    <x v="9"/>
    <x v="4"/>
    <n v="1"/>
    <m/>
    <m/>
    <m/>
    <n v="607"/>
    <n v="30.35"/>
    <n v="607"/>
    <n v="1.9088554540434E-2"/>
    <s v="Stk."/>
    <s v="kg"/>
    <n v="30359"/>
    <s v="Untergeschoss (Tiefgaragen, Keller)"/>
    <m/>
    <n v="1"/>
    <s v="nein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1"/>
    <n v="3"/>
    <n v="6"/>
    <n v="950.56497430000002"/>
    <n v="950.56497430000002"/>
    <n v="0"/>
    <n v="28.817908327000001"/>
    <n v="28.817908327000001"/>
    <n v="0"/>
    <n v="92.817778239999996"/>
    <n v="92.817778239999996"/>
    <n v="0"/>
    <n v="0.23753213836000001"/>
    <n v="0.14966254521"/>
    <n v="4.6854757934999998E-2"/>
    <s v="2,7394366464E-6"/>
    <n v="78.826080631332999"/>
    <n v="42.492747297999998"/>
    <n v="0.59785539888475003"/>
    <n v="0.59785539888475003"/>
    <n v="0"/>
    <n v="1.8124949418161E-2"/>
    <n v="1.8124949418161E-2"/>
    <n v="0"/>
    <n v="5.8377503204487001E-2"/>
    <n v="5.8377503204487001E-2"/>
    <n v="0"/>
    <n v="1.4939522827646999E-4"/>
    <s v="9,4129873374014E-5"/>
    <s v="2,9469179648142E-5"/>
    <s v="1,7229616420056E-9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7"/>
    <x v="27"/>
    <n v="250"/>
    <s v="opake Bauteile"/>
    <s v="nein"/>
    <n v="800"/>
    <m/>
    <m/>
    <x v="9"/>
    <m/>
    <n v="0.15"/>
    <m/>
    <m/>
    <m/>
    <m/>
    <m/>
    <m/>
    <x v="10"/>
    <x v="2"/>
    <n v="1"/>
    <n v="0.15"/>
    <n v="2325"/>
    <n v="348.75"/>
    <m/>
    <n v="348.75"/>
    <n v="279000"/>
    <n v="8.7738166668553994"/>
    <s v="m²"/>
    <s v="kg"/>
    <n v="30363"/>
    <s v="Balkone und Terrassen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4"/>
    <n v="6"/>
    <n v="546.144208875"/>
    <n v="546.144208875"/>
    <n v="0"/>
    <n v="16.557241398750001"/>
    <n v="16.557241398750001"/>
    <n v="0"/>
    <n v="53.328171599999997"/>
    <n v="53.328171599999997"/>
    <n v="0"/>
    <n v="0.13647336615"/>
    <n v="8.5988159212499998E-2"/>
    <n v="2.6920258368749998E-2"/>
    <s v="1,573934976E-6"/>
    <n v="45.2892843825"/>
    <n v="8.9559510491666998"/>
    <n v="13.739839891997001"/>
    <n v="13.739839891997001"/>
    <n v="0"/>
    <n v="0.41654537789676999"/>
    <n v="0.41654537789676999"/>
    <n v="0"/>
    <n v="1.3416246617834999"/>
    <n v="1.3416246617834999"/>
    <n v="0"/>
    <n v="3.4333829233225001E-3"/>
    <n v="2.163281274411E-3"/>
    <n v="6.7725709405530999E-4"/>
    <s v="3,9596894408532E-8"/>
  </r>
  <r>
    <n v="25306"/>
    <s v="Südtiroler Siedlung Salzburg"/>
    <n v="50"/>
    <s v="ja, ganzzahlig (1)"/>
    <n v="2"/>
    <s v="BGF"/>
    <n v="31799.16"/>
    <s v="m²"/>
    <n v="4"/>
    <n v="31799.16"/>
    <m/>
    <n v="79425.445013999997"/>
    <m/>
    <m/>
    <n v="796289"/>
    <x v="28"/>
    <n v="250"/>
    <s v="opake Bauteile"/>
    <s v="nein"/>
    <n v="760"/>
    <m/>
    <m/>
    <x v="9"/>
    <m/>
    <n v="0.15"/>
    <m/>
    <m/>
    <m/>
    <m/>
    <m/>
    <m/>
    <x v="10"/>
    <x v="2"/>
    <n v="1"/>
    <n v="0.15"/>
    <n v="2325"/>
    <n v="348.75"/>
    <m/>
    <n v="348.75"/>
    <n v="265050"/>
    <n v="8.3351258335126008"/>
    <s v="m²"/>
    <s v="kg"/>
    <n v="30363"/>
    <s v="Balkone und Terrassen"/>
    <n v="1"/>
    <n v="1"/>
    <s v="ja"/>
    <n v="0"/>
    <n v="100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s v="7,7190705E-5"/>
    <s v="4,5130752E-9"/>
    <n v="0"/>
    <n v="4"/>
    <n v="6"/>
    <n v="546.144208875"/>
    <n v="546.144208875"/>
    <n v="0"/>
    <n v="16.557241398750001"/>
    <n v="16.557241398750001"/>
    <n v="0"/>
    <n v="53.328171599999997"/>
    <n v="53.328171599999997"/>
    <n v="0"/>
    <n v="0.13647336615"/>
    <n v="8.5988159212499998E-2"/>
    <n v="2.6920258368749998E-2"/>
    <s v="1,573934976E-6"/>
    <n v="45.2892843825"/>
    <n v="8.9559510491666998"/>
    <n v="13.052847897396999"/>
    <n v="13.052847897396999"/>
    <n v="0"/>
    <n v="0.39571810900193999"/>
    <n v="0.39571810900193999"/>
    <n v="0"/>
    <n v="1.2745434286943"/>
    <n v="1.2745434286943"/>
    <n v="0"/>
    <n v="3.2617137771563998E-3"/>
    <n v="2.0551172106905002E-3"/>
    <n v="6.4339423935254997E-4"/>
    <s v="3,7617049688105E-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m/>
    <x v="0"/>
    <x v="0"/>
    <n v="0.06"/>
    <m/>
    <m/>
    <m/>
    <m/>
    <m/>
    <m/>
    <x v="0"/>
    <x v="0"/>
    <n v="1"/>
    <n v="0.06"/>
    <n v="475"/>
    <n v="28.5"/>
    <m/>
    <n v="28.5"/>
    <n v="307946.04824999999"/>
    <n v="9.6840938015344005"/>
    <s v="m²"/>
    <s v="kg"/>
    <n v="30358"/>
    <x v="0"/>
    <n v="1"/>
    <x v="0"/>
    <s v="ja"/>
    <n v="0"/>
    <x v="0"/>
    <n v="50"/>
    <s v="Sekundärkonstruktion"/>
    <m/>
    <m/>
    <n v="1"/>
    <m/>
    <n v="1"/>
    <m/>
    <n v="0"/>
    <n v="100"/>
    <n v="0"/>
    <m/>
    <n v="7.3674311000000001"/>
    <n v="7.0057344636360002"/>
    <n v="0.36169663636400001"/>
    <n v="14.931191"/>
    <n v="0.53119099999999997"/>
    <n v="14.4"/>
    <n v="-0.42124977000000002"/>
    <n v="0.42520023000000001"/>
    <n v="-0.84645000000000004"/>
    <n v="2.1681996000000002E-3"/>
    <n v="8.9600653000000002E-4"/>
    <n v="7.5086816999999999E-4"/>
    <n v="3.6616000000000002E-8"/>
    <n v="0"/>
    <n v="0"/>
    <n v="6"/>
    <n v="209.97178635"/>
    <n v="199.66343221362999"/>
    <n v="10.308354136374"/>
    <n v="425.53894350000002"/>
    <n v="15.1389435"/>
    <n v="410.4"/>
    <n v="-12.005618445"/>
    <n v="12.118206555"/>
    <n v="-24.123825"/>
    <n v="6.17936886E-2"/>
    <n v="2.5536186105000001E-2"/>
    <n v="2.1399742845E-2"/>
    <n v="1.0435559999999999E-6"/>
    <n v="13.237281617500001"/>
    <n v="31.091887531666998"/>
    <n v="71.346893848741999"/>
    <n v="67.844189694492997"/>
    <n v="3.5027041542483999"/>
    <n v="144.59505421263"/>
    <n v="5.1441034705308004"/>
    <n v="139.45095074209999"/>
    <n v="-4.0794222865548004"/>
    <n v="4.117678911754"/>
    <n v="-8.1971011983088005"/>
    <n v="2.0997048306848998E-2"/>
    <n v="8.6770112833072996E-3"/>
    <n v="7.2714777908665E-3"/>
    <n v="3.5459277863698002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n v="2142717907"/>
    <x v="1"/>
    <x v="0"/>
    <n v="0.24"/>
    <m/>
    <m/>
    <m/>
    <m/>
    <m/>
    <m/>
    <x v="0"/>
    <x v="0"/>
    <n v="0.8"/>
    <n v="0.192"/>
    <n v="40"/>
    <n v="7.68"/>
    <m/>
    <n v="7.68"/>
    <n v="82983.356159999996"/>
    <n v="2.6096084349397999"/>
    <s v="m²"/>
    <s v="kg"/>
    <n v="30358"/>
    <x v="0"/>
    <n v="2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163.914816"/>
    <n v="163.914816"/>
    <n v="0"/>
    <n v="6.0264774144000004"/>
    <n v="6.0264774144000004"/>
    <n v="0"/>
    <n v="13.370350847999999"/>
    <n v="13.370350847999999"/>
    <n v="0"/>
    <n v="9.0695616000000007E-2"/>
    <n v="2.3885532671999998E-2"/>
    <n v="3.8885620991999999E-2"/>
    <n v="5.3844479999999999E-7"/>
    <n v="19.784967808000001"/>
    <n v="31.091887531666998"/>
    <n v="55.697068547553002"/>
    <n v="55.697068547553002"/>
    <n v="0"/>
    <n v="2.0477534236447998"/>
    <n v="2.0477534236447998"/>
    <n v="0"/>
    <n v="4.5431484832090003"/>
    <n v="4.5431484832090003"/>
    <n v="0"/>
    <n v="3.0817714130945001E-2"/>
    <n v="8.1161311893074E-3"/>
    <n v="1.3213052674296E-2"/>
    <n v="1.8295964737363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n v="2142718934"/>
    <x v="2"/>
    <x v="0"/>
    <n v="0.24"/>
    <m/>
    <m/>
    <m/>
    <m/>
    <m/>
    <m/>
    <x v="0"/>
    <x v="0"/>
    <n v="0.2"/>
    <n v="4.8000000000000001E-2"/>
    <n v="475"/>
    <n v="22.8"/>
    <m/>
    <n v="22.8"/>
    <n v="246356.83859999999"/>
    <n v="7.7472750412274998"/>
    <s v="m²"/>
    <s v="kg"/>
    <n v="30358"/>
    <x v="0"/>
    <n v="2"/>
    <x v="1"/>
    <s v="ja"/>
    <n v="0"/>
    <x v="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n v="1.8139999999999999E-8"/>
    <n v="0"/>
    <n v="0"/>
    <n v="6"/>
    <n v="81.805734240000007"/>
    <n v="81.805734240000007"/>
    <n v="0"/>
    <n v="463.38234360000001"/>
    <n v="70.310343599999996"/>
    <n v="393.072"/>
    <n v="-15.920181396"/>
    <n v="4.7958986039999996"/>
    <n v="-20.716080000000002"/>
    <n v="2.9245557719999999E-2"/>
    <n v="1.3290657851999999E-2"/>
    <n v="1.1592250512E-2"/>
    <n v="4.1359199999999999E-7"/>
    <n v="3.9729019380000001"/>
    <n v="31.091887531666998"/>
    <n v="27.796996627493002"/>
    <n v="27.796996627493002"/>
    <n v="0"/>
    <n v="157.45396776832001"/>
    <n v="23.890946057562001"/>
    <n v="133.56302171076001"/>
    <n v="-5.4095624553089996"/>
    <n v="1.6296116471502999"/>
    <n v="-7.0391741024592998"/>
    <n v="9.937428920655E-3"/>
    <n v="4.5160693797496997E-3"/>
    <n v="3.9389628536524003E-3"/>
    <n v="1.4053556924787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m/>
    <x v="3"/>
    <x v="0"/>
    <n v="1.4999999999999999E-2"/>
    <m/>
    <m/>
    <m/>
    <m/>
    <m/>
    <m/>
    <x v="0"/>
    <x v="0"/>
    <n v="1"/>
    <n v="1.4999999999999999E-2"/>
    <n v="1200"/>
    <n v="18"/>
    <m/>
    <n v="18"/>
    <n v="194492.24100000001"/>
    <n v="6.1162697693901"/>
    <s v="m²"/>
    <s v="kg"/>
    <n v="30358"/>
    <x v="0"/>
    <n v="3"/>
    <x v="0"/>
    <s v="ja"/>
    <n v="0"/>
    <x v="0"/>
    <n v="50"/>
    <s v="Sekundärkonstruktion"/>
    <m/>
    <m/>
    <n v="3"/>
    <m/>
    <n v="4"/>
    <m/>
    <n v="50"/>
    <n v="50"/>
    <n v="0"/>
    <m/>
    <n v="5.0350267999999998"/>
    <n v="4.2850267999999998"/>
    <n v="0.75"/>
    <n v="2.6372589999999998"/>
    <n v="0.150259"/>
    <n v="2.4870000000000001"/>
    <n v="0.48134774000000002"/>
    <n v="0.62104773999999996"/>
    <n v="-0.13969999999999999"/>
    <n v="1.1368352E-3"/>
    <n v="2.9767676000000003E-4"/>
    <n v="1.4392046E-4"/>
    <n v="2.4725000000000001E-8"/>
    <n v="0"/>
    <n v="0"/>
    <n v="6"/>
    <n v="90.630482400000005"/>
    <n v="77.130482400000005"/>
    <n v="13.5"/>
    <n v="47.470661999999997"/>
    <n v="2.7046619999999999"/>
    <n v="44.765999999999998"/>
    <n v="8.6642593199999993"/>
    <n v="11.178859320000001"/>
    <n v="-2.5146000000000002"/>
    <n v="2.04630336E-2"/>
    <n v="5.3581816799999999E-3"/>
    <n v="2.5905682799999999E-3"/>
    <n v="4.4504999999999998E-7"/>
    <n v="7.1934637800000001"/>
    <n v="31.091887531666998"/>
    <n v="30.795582204909"/>
    <n v="26.208379877866999"/>
    <n v="4.5872023270425997"/>
    <n v="16.130187495752001"/>
    <n v="0.91902457927879"/>
    <n v="15.211162916473"/>
    <n v="2.9440526307263002"/>
    <n v="3.7984955175101001"/>
    <n v="-0.85444288678379998"/>
    <n v="6.9531907665385997E-3"/>
    <n v="1.820671368238E-3"/>
    <n v="8.8025635869472003E-4"/>
    <n v="1.5122477004816999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n v="2142718766"/>
    <x v="4"/>
    <x v="0"/>
    <n v="1E-3"/>
    <m/>
    <m/>
    <m/>
    <m/>
    <m/>
    <m/>
    <x v="0"/>
    <x v="0"/>
    <n v="1"/>
    <n v="1E-3"/>
    <n v="300"/>
    <n v="0.3"/>
    <m/>
    <n v="0.3"/>
    <n v="3241.5373500000001"/>
    <n v="0.10193782948984"/>
    <s v="m²"/>
    <s v="kg"/>
    <n v="30358"/>
    <x v="0"/>
    <n v="4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31.091887531666998"/>
    <n v="17.530942326234999"/>
    <n v="8.8723430893679005"/>
    <n v="8.6585992368665998"/>
    <n v="0.26550256116150001"/>
    <n v="0.26550256116150001"/>
    <n v="0"/>
    <n v="0.58177803100937997"/>
    <n v="0.58391872542866996"/>
    <n v="-2.1406944192864999E-3"/>
    <n v="1.6966123773468E-3"/>
    <n v="3.2751823383743998E-4"/>
    <n v="5.0531454665932E-4"/>
    <n v="7.9749784639748004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m/>
    <x v="5"/>
    <x v="0"/>
    <n v="0.05"/>
    <m/>
    <m/>
    <m/>
    <m/>
    <m/>
    <m/>
    <x v="0"/>
    <x v="0"/>
    <n v="1"/>
    <n v="0.05"/>
    <n v="475"/>
    <n v="23.75"/>
    <m/>
    <n v="23.75"/>
    <n v="256621.706875"/>
    <n v="8.0700781679453009"/>
    <s v="m²"/>
    <s v="kg"/>
    <n v="30358"/>
    <x v="0"/>
    <n v="5"/>
    <x v="0"/>
    <s v="ja"/>
    <n v="0"/>
    <x v="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0"/>
    <n v="0"/>
    <n v="6"/>
    <n v="218.551843875"/>
    <n v="209.67836887499999"/>
    <n v="8.8734749999999991"/>
    <n v="420.00001125"/>
    <n v="15.041611250000001"/>
    <n v="404.95839999999998"/>
    <n v="-7.7255935625000003"/>
    <n v="12.1163439375"/>
    <n v="-19.8419375"/>
    <n v="6.8433007749999997E-2"/>
    <n v="3.2785685124999998E-2"/>
    <n v="2.468184075E-2"/>
    <n v="1.04682875E-6"/>
    <n v="15.121863568749999"/>
    <n v="31.091887531666998"/>
    <n v="74.262335318729995"/>
    <n v="71.247192713621999"/>
    <n v="3.0151426051076999"/>
    <n v="142.71296510843999"/>
    <n v="5.1110306761829998"/>
    <n v="137.60193443226001"/>
    <n v="-2.6251007976062999"/>
    <n v="4.1170460078035997"/>
    <n v="-6.7421468054098996"/>
    <n v="2.3253040918319999E-2"/>
    <n v="1.1140338599932E-2"/>
    <n v="8.3867109128958998E-3"/>
    <n v="3.5570483540852998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2"/>
    <x v="0"/>
    <n v="102"/>
    <s v="opake Bauteile"/>
    <s v="nein"/>
    <n v="10805.1245"/>
    <m/>
    <n v="2142704948"/>
    <x v="6"/>
    <x v="0"/>
    <n v="1.9E-2"/>
    <m/>
    <m/>
    <m/>
    <m/>
    <m/>
    <m/>
    <x v="0"/>
    <x v="0"/>
    <n v="1"/>
    <n v="1.9E-2"/>
    <n v="450"/>
    <n v="8.5500000000000007"/>
    <m/>
    <n v="8.5500000000000007"/>
    <n v="92383.814475000006"/>
    <n v="2.9052281404603"/>
    <s v="m²"/>
    <s v="kg"/>
    <n v="30358"/>
    <x v="0"/>
    <n v="6"/>
    <x v="0"/>
    <s v="ja"/>
    <n v="0"/>
    <x v="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0"/>
    <n v="0"/>
    <n v="6"/>
    <n v="78.678663795000006"/>
    <n v="75.484212795000005"/>
    <n v="3.1944509999999999"/>
    <n v="151.20000404999999"/>
    <n v="5.4149800499999996"/>
    <n v="145.78502399999999"/>
    <n v="-2.7812136824999998"/>
    <n v="4.3618838174999999"/>
    <n v="-7.1430974999999997"/>
    <n v="2.4635882790000001E-2"/>
    <n v="1.1802846645E-2"/>
    <n v="8.8854626700000001E-3"/>
    <n v="3.7685835E-7"/>
    <n v="5.4438708847499999"/>
    <n v="31.091887531666998"/>
    <n v="26.734440714742998"/>
    <n v="25.648989376904002"/>
    <n v="1.0854513378388"/>
    <n v="51.376667439038002"/>
    <n v="1.8399710434259"/>
    <n v="49.536696395611997"/>
    <n v="-0.94503628713828003"/>
    <n v="1.4821365628093"/>
    <n v="-2.4271728499476"/>
    <n v="8.3710947305953003E-3"/>
    <n v="4.0105218959755997E-3"/>
    <n v="3.0192159286425001E-3"/>
    <n v="1.2805374074707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n v="2142685464"/>
    <x v="7"/>
    <x v="0"/>
    <n v="2E-3"/>
    <m/>
    <m/>
    <m/>
    <m/>
    <m/>
    <m/>
    <x v="0"/>
    <x v="0"/>
    <n v="1"/>
    <n v="2E-3"/>
    <n v="1300"/>
    <n v="2.6"/>
    <m/>
    <n v="2.6"/>
    <n v="646.73725999999999"/>
    <n v="2.0338186920661E-2"/>
    <s v="m²"/>
    <s v="kg"/>
    <n v="30358"/>
    <x v="0"/>
    <n v="1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99.362058679499995"/>
    <n v="8.4739035466745993E-2"/>
    <n v="8.4739035466745993E-2"/>
    <n v="0"/>
    <n v="1.3197778564681E-2"/>
    <n v="1.3197778564681E-2"/>
    <n v="0"/>
    <n v="7.1709697359378004E-3"/>
    <n v="7.2116461097792E-3"/>
    <n v="-4.0676373841322002E-5"/>
    <n v="2.0066535859418E-5"/>
    <n v="8.2921676098077007E-6"/>
    <n v="2.6161280333932001E-6"/>
    <n v="6.0685025186943998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m/>
    <x v="8"/>
    <x v="0"/>
    <n v="1E-3"/>
    <m/>
    <m/>
    <m/>
    <m/>
    <m/>
    <m/>
    <x v="0"/>
    <x v="0"/>
    <n v="1"/>
    <n v="1E-3"/>
    <n v="1000"/>
    <n v="1"/>
    <m/>
    <n v="1"/>
    <n v="248.74510000000001"/>
    <n v="7.8223795848694992E-3"/>
    <s v="m²"/>
    <s v="kg"/>
    <n v="30358"/>
    <x v="0"/>
    <n v="2"/>
    <x v="0"/>
    <s v="ja"/>
    <n v="0"/>
    <x v="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.20903325266667"/>
    <n v="99.362058679499995"/>
    <n v="2.3994015131546999E-2"/>
    <n v="2.3994015131546999E-2"/>
    <n v="0"/>
    <n v="1.5135436212589E-3"/>
    <n v="1.5135436212589E-3"/>
    <n v="0"/>
    <n v="1.2348028245027E-3"/>
    <n v="1.2739147224271E-3"/>
    <n v="-3.9111897924348E-5"/>
    <n v="4.7215235481243003E-6"/>
    <n v="2.1330034144742E-6"/>
    <n v="4.3091129121125998E-7"/>
    <n v="1.3190130092239001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m/>
    <x v="9"/>
    <x v="0"/>
    <n v="0.2"/>
    <m/>
    <m/>
    <m/>
    <m/>
    <m/>
    <m/>
    <x v="0"/>
    <x v="0"/>
    <n v="1"/>
    <n v="0.2"/>
    <n v="2325"/>
    <n v="465"/>
    <m/>
    <n v="465"/>
    <n v="115666.4715"/>
    <n v="3.6374065069642998"/>
    <s v="m²"/>
    <s v="kg"/>
    <n v="30358"/>
    <x v="0"/>
    <n v="3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n v="2.0985799679999999E-6"/>
    <n v="60.385712509999998"/>
    <n v="99.362058679499995"/>
    <n v="5.6961964131979999"/>
    <n v="5.6961964131979999"/>
    <n v="0"/>
    <n v="0.17268936946578001"/>
    <n v="0.17268936946578001"/>
    <n v="0"/>
    <n v="0.55620426776301002"/>
    <n v="0.55620426776301002"/>
    <n v="0"/>
    <n v="1.4233952976669001E-3"/>
    <n v="8.9684269488582999E-4"/>
    <n v="2.8077397264415999E-4"/>
    <n v="1.6415889098898998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n v="2142730648"/>
    <x v="10"/>
    <x v="0"/>
    <n v="0.18"/>
    <m/>
    <m/>
    <m/>
    <m/>
    <m/>
    <m/>
    <x v="0"/>
    <x v="0"/>
    <n v="1"/>
    <n v="0.18"/>
    <n v="110"/>
    <n v="19.8"/>
    <m/>
    <n v="19.8"/>
    <n v="4925.1529799999998"/>
    <n v="0.15488311578041999"/>
    <s v="m²"/>
    <s v="kg"/>
    <n v="30358"/>
    <x v="0"/>
    <n v="4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422.59288500000002"/>
    <n v="422.59288500000002"/>
    <n v="0"/>
    <n v="15.537012084000001"/>
    <n v="15.537012084000001"/>
    <n v="0"/>
    <n v="34.470435780000003"/>
    <n v="34.470435780000003"/>
    <n v="0"/>
    <n v="0.233824635"/>
    <n v="6.1579888919999999E-2"/>
    <n v="0.10025199161999999"/>
    <n v="1.3881779999999999E-6"/>
    <n v="51.008120130000002"/>
    <n v="99.362058679499995"/>
    <n v="3.3056819563350999"/>
    <n v="3.3056819563350999"/>
    <n v="0"/>
    <n v="0.12153640613574999"/>
    <n v="0.12153640613574999"/>
    <n v="0"/>
    <n v="0.26964083312703002"/>
    <n v="0.26964083312703002"/>
    <n v="0"/>
    <n v="1.8290650512636001E-3"/>
    <n v="4.8170126592633999E-4"/>
    <n v="7.8420913259080001E-4"/>
    <n v="1.0858855247365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n v="2142718766"/>
    <x v="4"/>
    <x v="0"/>
    <n v="1E-3"/>
    <m/>
    <m/>
    <m/>
    <m/>
    <m/>
    <m/>
    <x v="0"/>
    <x v="0"/>
    <n v="1"/>
    <n v="1E-3"/>
    <n v="300"/>
    <n v="0.3"/>
    <m/>
    <n v="0.3"/>
    <n v="74.623530000000002"/>
    <n v="2.3467138754608998E-3"/>
    <s v="m²"/>
    <s v="kg"/>
    <n v="30358"/>
    <x v="0"/>
    <n v="5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99.362058679499995"/>
    <n v="0.40358035689763999"/>
    <n v="0.20425048031599999"/>
    <n v="0.19932987658165"/>
    <n v="6.1121425418443004E-3"/>
    <n v="6.1121425418443004E-3"/>
    <n v="0"/>
    <n v="1.3393129759979E-2"/>
    <n v="1.3442410751364001E-2"/>
    <n v="-4.9280991384678E-5"/>
    <n v="3.9057765180248999E-5"/>
    <n v="7.5398072301450997E-6"/>
    <n v="1.1632861559367001E-5"/>
    <n v="1.8359222196090999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m/>
    <x v="5"/>
    <x v="0"/>
    <n v="0.05"/>
    <m/>
    <m/>
    <m/>
    <m/>
    <m/>
    <m/>
    <x v="0"/>
    <x v="0"/>
    <n v="1"/>
    <n v="0.05"/>
    <n v="475"/>
    <n v="23.75"/>
    <m/>
    <n v="23.75"/>
    <n v="5907.6961250000004"/>
    <n v="0.18578151514065"/>
    <s v="m²"/>
    <s v="kg"/>
    <n v="30358"/>
    <x v="0"/>
    <n v="6"/>
    <x v="0"/>
    <s v="ja"/>
    <n v="0"/>
    <x v="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0"/>
    <n v="0"/>
    <n v="6"/>
    <n v="218.551843875"/>
    <n v="209.67836887499999"/>
    <n v="8.8734749999999991"/>
    <n v="420.00001125"/>
    <n v="15.041611250000001"/>
    <n v="404.95839999999998"/>
    <n v="-7.7255935625000003"/>
    <n v="12.1163439375"/>
    <n v="-19.8419375"/>
    <n v="6.8433007749999997E-2"/>
    <n v="3.2785685124999998E-2"/>
    <n v="2.468184075E-2"/>
    <n v="1.04682875E-6"/>
    <n v="15.121863568749999"/>
    <n v="99.362058679499995"/>
    <n v="1.7095954817634"/>
    <n v="1.6401837920764999"/>
    <n v="6.9411689686850006E-2"/>
    <n v="3.285399513647"/>
    <n v="0.11766119276554"/>
    <n v="3.1677383208814001"/>
    <n v="-6.0432525364300001E-2"/>
    <n v="9.4778641459957999E-2"/>
    <n v="-0.15521116682426001"/>
    <n v="5.3530896275481995E-4"/>
    <n v="2.5646207399776001E-4"/>
    <n v="1.9307072719979999E-4"/>
    <n v="8.1886918428544995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3"/>
    <x v="1"/>
    <n v="102"/>
    <s v="opake Bauteile"/>
    <s v="nein"/>
    <n v="248.74510000000001"/>
    <m/>
    <n v="2142704948"/>
    <x v="6"/>
    <x v="0"/>
    <n v="1.9E-2"/>
    <m/>
    <m/>
    <m/>
    <m/>
    <m/>
    <m/>
    <x v="0"/>
    <x v="0"/>
    <n v="1"/>
    <n v="1.9E-2"/>
    <n v="450"/>
    <n v="8.5500000000000007"/>
    <m/>
    <n v="8.5500000000000007"/>
    <n v="2126.7706050000002"/>
    <n v="6.6881345450634996E-2"/>
    <s v="m²"/>
    <s v="kg"/>
    <n v="30358"/>
    <x v="0"/>
    <n v="7"/>
    <x v="0"/>
    <s v="ja"/>
    <n v="0"/>
    <x v="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0"/>
    <n v="0"/>
    <n v="6"/>
    <n v="78.678663795000006"/>
    <n v="75.484212795000005"/>
    <n v="3.1944509999999999"/>
    <n v="151.20000404999999"/>
    <n v="5.4149800499999996"/>
    <n v="145.78502399999999"/>
    <n v="-2.7812136824999998"/>
    <n v="4.3618838174999999"/>
    <n v="-7.1430974999999997"/>
    <n v="2.4635882790000001E-2"/>
    <n v="1.1802846645E-2"/>
    <n v="8.8854626700000001E-3"/>
    <n v="3.7685835E-7"/>
    <n v="5.4438708847499999"/>
    <n v="99.362058679499995"/>
    <n v="0.61545437343482001"/>
    <n v="0.59046616514756001"/>
    <n v="2.4988208287266001E-2"/>
    <n v="1.1827438249129001"/>
    <n v="4.2358029395595999E-2"/>
    <n v="1.1403857955173"/>
    <n v="-2.1755709131148E-2"/>
    <n v="3.4120310925584998E-2"/>
    <n v="-5.5876020056732999E-2"/>
    <n v="1.9271122659173E-4"/>
    <n v="9.2326346639194003E-5"/>
    <n v="6.9505461791928E-5"/>
    <n v="2.9479290634276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685464"/>
    <x v="7"/>
    <x v="0"/>
    <n v="2E-3"/>
    <m/>
    <m/>
    <m/>
    <m/>
    <m/>
    <m/>
    <x v="0"/>
    <x v="0"/>
    <n v="1"/>
    <n v="2E-3"/>
    <n v="1300"/>
    <n v="2.6"/>
    <m/>
    <n v="2.6"/>
    <n v="5627.0100899999998"/>
    <n v="0.17695467710467999"/>
    <s v="m²"/>
    <s v="kg"/>
    <n v="30358"/>
    <x v="0"/>
    <n v="1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91.142185072467001"/>
    <n v="0.73728148520196002"/>
    <n v="0.73728148520196002"/>
    <n v="0"/>
    <n v="0.1148287530999"/>
    <n v="0.1148287530999"/>
    <n v="0"/>
    <n v="6.2391826719874997E-2"/>
    <n v="6.2745736074083999E-2"/>
    <n v="-3.5390935420935999E-4"/>
    <n v="1.7459114656899E-4"/>
    <n v="7.2146934611992002E-5"/>
    <n v="2.2761915465694998E-5"/>
    <n v="5.2799687007183997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m/>
    <x v="8"/>
    <x v="0"/>
    <n v="2E-3"/>
    <m/>
    <m/>
    <m/>
    <m/>
    <m/>
    <m/>
    <x v="0"/>
    <x v="0"/>
    <n v="1"/>
    <n v="2E-3"/>
    <n v="1000"/>
    <n v="2"/>
    <m/>
    <n v="2"/>
    <n v="4328.4692999999997"/>
    <n v="0.13611898238820999"/>
    <s v="m²"/>
    <s v="kg"/>
    <n v="30358"/>
    <x v="0"/>
    <n v="2"/>
    <x v="0"/>
    <s v="ja"/>
    <n v="0"/>
    <x v="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"/>
    <n v="0"/>
    <n v="6"/>
    <n v="6.1347100000000001"/>
    <n v="6.1347100000000001"/>
    <n v="0"/>
    <n v="0.38697779999999998"/>
    <n v="0.38697779999999998"/>
    <n v="0"/>
    <n v="0.31571028000000001"/>
    <n v="0.32571028000000002"/>
    <n v="-0.01"/>
    <n v="1.2071834400000001E-3"/>
    <n v="5.4535922000000002E-4"/>
    <n v="1.1017396600000001E-4"/>
    <n v="3.3724085999999999E-8"/>
    <n v="0.41806650533333001"/>
    <n v="91.142185072467001"/>
    <n v="0.41752524122340001"/>
    <n v="0.41752524122340001"/>
    <n v="0"/>
    <n v="2.6337512171415001E-2"/>
    <n v="2.6337512171415001E-2"/>
    <n v="0"/>
    <n v="2.1487081021549E-2"/>
    <n v="2.2167675933489998E-2"/>
    <n v="-6.8059491194107005E-4"/>
    <n v="8.2160290704352002E-5"/>
    <n v="3.7116871031214998E-5"/>
    <n v="7.4983840687968E-6"/>
    <n v="2.295244134146299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0458"/>
    <x v="11"/>
    <x v="0"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x v="0"/>
    <n v="3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n v="4.9587335478170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7907"/>
    <x v="1"/>
    <x v="0"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x v="0"/>
    <n v="4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n v="2.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n v="1.8323139562056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8934"/>
    <x v="2"/>
    <x v="0"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x v="0"/>
    <n v="4"/>
    <x v="1"/>
    <s v="ja"/>
    <n v="0"/>
    <x v="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n v="1.8139999999999999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n v="2.0679599999999999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n v="1.4074430540977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0458"/>
    <x v="11"/>
    <x v="0"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x v="0"/>
    <n v="5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n v="4.9587335478170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0458"/>
    <x v="11"/>
    <x v="0"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x v="0"/>
    <n v="6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n v="4.9587335478170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7907"/>
    <x v="1"/>
    <x v="0"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x v="0"/>
    <n v="7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n v="2.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n v="1.8323139562056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8934"/>
    <x v="2"/>
    <x v="0"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x v="0"/>
    <n v="7"/>
    <x v="1"/>
    <s v="ja"/>
    <n v="0"/>
    <x v="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n v="1.8139999999999999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n v="2.0679599999999999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n v="1.4074430540977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0458"/>
    <x v="11"/>
    <x v="0"/>
    <n v="1.7999999999999999E-2"/>
    <m/>
    <m/>
    <m/>
    <m/>
    <m/>
    <m/>
    <x v="0"/>
    <x v="0"/>
    <n v="1"/>
    <n v="1.7999999999999999E-2"/>
    <n v="1050"/>
    <n v="18.899999999999999"/>
    <m/>
    <n v="18.899999999999999"/>
    <n v="40904.034885000001"/>
    <n v="1.2863243835686"/>
    <s v="m²"/>
    <s v="kg"/>
    <n v="30358"/>
    <x v="0"/>
    <n v="8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91.142185072467001"/>
    <n v="6.9475872092825997"/>
    <n v="6.9475872092825997"/>
    <n v="0"/>
    <n v="4.1571089265885002"/>
    <n v="4.1571089265885002"/>
    <n v="0"/>
    <n v="0.10867273584569"/>
    <n v="0.48427945584771998"/>
    <n v="-0.37560672000203998"/>
    <n v="2.0136999173613001E-3"/>
    <n v="6.2418023730033E-4"/>
    <n v="1.7020522042563999E-4"/>
    <n v="4.9587335478170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7907"/>
    <x v="1"/>
    <x v="0"/>
    <n v="0.12"/>
    <m/>
    <m/>
    <m/>
    <m/>
    <m/>
    <m/>
    <x v="0"/>
    <x v="0"/>
    <n v="0.8"/>
    <n v="9.6000000000000002E-2"/>
    <n v="40"/>
    <n v="3.84"/>
    <m/>
    <n v="3.84"/>
    <n v="8310.6610560000008"/>
    <n v="0.26134844618537001"/>
    <s v="m²"/>
    <s v="kg"/>
    <n v="30358"/>
    <x v="0"/>
    <n v="9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n v="2.692224E-7"/>
    <n v="9.8924839040000005"/>
    <n v="91.142185072467001"/>
    <n v="5.5779794880678004"/>
    <n v="5.5779794880678004"/>
    <n v="0"/>
    <n v="0.20507949325842001"/>
    <n v="0.20507949325842001"/>
    <n v="0"/>
    <n v="0.45498963790079"/>
    <n v="0.45498963790079"/>
    <n v="0"/>
    <n v="3.0863487392480998E-3"/>
    <n v="8.1281860027827E-4"/>
    <n v="1.3232677897412001E-3"/>
    <n v="1.8323139562056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8934"/>
    <x v="2"/>
    <x v="0"/>
    <n v="0.12"/>
    <m/>
    <m/>
    <m/>
    <m/>
    <m/>
    <m/>
    <x v="0"/>
    <x v="0"/>
    <n v="0.2"/>
    <n v="2.4E-2"/>
    <n v="475"/>
    <n v="11.4"/>
    <m/>
    <n v="11.4"/>
    <n v="24672.275010000001"/>
    <n v="0.77587819961282001"/>
    <s v="m²"/>
    <s v="kg"/>
    <n v="30358"/>
    <x v="0"/>
    <n v="9"/>
    <x v="1"/>
    <s v="ja"/>
    <n v="0"/>
    <x v="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n v="1.8139999999999999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n v="2.0679599999999999E-7"/>
    <n v="1.9864509690000001"/>
    <n v="91.142185072467001"/>
    <n v="2.7838283245673998"/>
    <n v="2.7838283245673998"/>
    <n v="0"/>
    <n v="15.768783266873999"/>
    <n v="2.3926431055494"/>
    <n v="13.376140161325001"/>
    <n v="-0.54175972276481998"/>
    <n v="0.16320320940338001"/>
    <n v="-0.70496293216821004"/>
    <n v="9.952188890555401E-4"/>
    <n v="4.5227770552103998E-4"/>
    <n v="3.9448133582067001E-4"/>
    <n v="1.4074430540977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8766"/>
    <x v="4"/>
    <x v="0"/>
    <n v="1E-3"/>
    <m/>
    <m/>
    <m/>
    <m/>
    <m/>
    <m/>
    <x v="0"/>
    <x v="0"/>
    <n v="1"/>
    <n v="1E-3"/>
    <n v="300"/>
    <n v="0.3"/>
    <m/>
    <n v="0.3"/>
    <n v="649.27039500000001"/>
    <n v="2.0417847358231999E-2"/>
    <s v="m²"/>
    <s v="kg"/>
    <n v="30358"/>
    <x v="0"/>
    <n v="10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91.142185072467001"/>
    <n v="3.5113961740642998"/>
    <n v="1.7771042194561"/>
    <n v="1.7342919546082001"/>
    <n v="5.3179381924702999E-2"/>
    <n v="5.3179381924702999E-2"/>
    <n v="0"/>
    <n v="0.11652842809162001"/>
    <n v="0.11695720288615"/>
    <n v="-4.2877479452287001E-4"/>
    <n v="3.3982646795718997E-4"/>
    <n v="6.5600938719197001E-5"/>
    <n v="1.0121301712249E-4"/>
    <n v="1.5973647249264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38743"/>
    <x v="12"/>
    <x v="0"/>
    <n v="1.8E-3"/>
    <m/>
    <m/>
    <m/>
    <m/>
    <m/>
    <m/>
    <x v="0"/>
    <x v="0"/>
    <n v="1"/>
    <n v="1.8E-3"/>
    <n v="2800"/>
    <n v="5.04"/>
    <m/>
    <n v="5.04"/>
    <n v="10907.742636000001"/>
    <n v="0.34301983561830002"/>
    <s v="m²"/>
    <s v="kg"/>
    <n v="30358"/>
    <x v="0"/>
    <n v="11"/>
    <x v="0"/>
    <s v="ja"/>
    <n v="0"/>
    <x v="0"/>
    <n v="50"/>
    <s v="Sekundärkonstruktion"/>
    <m/>
    <m/>
    <n v="1"/>
    <m/>
    <n v="1"/>
    <m/>
    <n v="0"/>
    <n v="0"/>
    <n v="100"/>
    <m/>
    <n v="114.04756"/>
    <n v="114.04756"/>
    <n v="0"/>
    <n v="24.230383"/>
    <n v="24.230383"/>
    <n v="0"/>
    <n v="9.1452820999999993"/>
    <n v="9.1542820999999996"/>
    <n v="-8.9999999999999993E-3"/>
    <n v="4.1693915999999998E-2"/>
    <n v="1.5729371999999998E-2"/>
    <n v="4.5273911E-3"/>
    <n v="5.7695943999999998E-7"/>
    <n v="0"/>
    <n v="0"/>
    <n v="6"/>
    <n v="574.7997024"/>
    <n v="574.7997024"/>
    <n v="0"/>
    <n v="122.12113032000001"/>
    <n v="122.12113032000001"/>
    <n v="0"/>
    <n v="46.092221784000003"/>
    <n v="46.137581783999998"/>
    <n v="-4.5359999999999998E-2"/>
    <n v="0.21013733664000001"/>
    <n v="7.9276034879999999E-2"/>
    <n v="2.2818051143999998E-2"/>
    <n v="2.9078755776E-6"/>
    <n v="54.860338595999998"/>
    <n v="91.142185072467001"/>
    <n v="39.120575283868"/>
    <n v="39.120575283868"/>
    <n v="0"/>
    <n v="8.3115019936284007"/>
    <n v="8.3115019936284007"/>
    <n v="0"/>
    <n v="3.1370131626250002"/>
    <n v="3.1401003411455002"/>
    <n v="-3.0871785205647002E-3"/>
    <n v="1.4301840212602999E-2"/>
    <n v="5.3954865978191003E-3"/>
    <n v="1.5529849509018001E-3"/>
    <n v="1.9790853226723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1"/>
    <x v="2"/>
    <n v="102"/>
    <s v="opake Bauteile"/>
    <s v="nein"/>
    <n v="2164.2346499999999"/>
    <m/>
    <n v="2142717929"/>
    <x v="13"/>
    <x v="0"/>
    <n v="8.9999999999999993E-3"/>
    <m/>
    <m/>
    <m/>
    <m/>
    <m/>
    <m/>
    <x v="0"/>
    <x v="0"/>
    <n v="1"/>
    <n v="8.9999999999999993E-3"/>
    <n v="38"/>
    <n v="0.34200000000000003"/>
    <m/>
    <n v="0.34200000000000003"/>
    <n v="740.16825029999995"/>
    <n v="2.3276345988384999E-2"/>
    <s v="m²"/>
    <s v="kg"/>
    <n v="30358"/>
    <x v="0"/>
    <n v="12"/>
    <x v="0"/>
    <s v="ja"/>
    <n v="0"/>
    <x v="0"/>
    <n v="50"/>
    <s v="Sekundärkonstruktion"/>
    <m/>
    <m/>
    <n v="5"/>
    <m/>
    <n v="4"/>
    <m/>
    <n v="0"/>
    <n v="100"/>
    <n v="0"/>
    <m/>
    <n v="131.42972"/>
    <n v="109.82971999999999"/>
    <n v="21.6"/>
    <n v="2.2548433000000001"/>
    <n v="2.2548433000000001"/>
    <n v="0"/>
    <n v="5.0115335999999999"/>
    <n v="5.0115335999999999"/>
    <n v="0"/>
    <n v="1.7419766E-2"/>
    <n v="6.9117468000000001E-3"/>
    <n v="1.1384409999999999E-2"/>
    <n v="2.1427749999999999E-7"/>
    <n v="0"/>
    <n v="0"/>
    <n v="6"/>
    <n v="44.948964240000002"/>
    <n v="37.561764240000002"/>
    <n v="7.3872"/>
    <n v="0.77115640860000001"/>
    <n v="0.77115640860000001"/>
    <n v="0"/>
    <n v="1.7139444911999999"/>
    <n v="1.7139444911999999"/>
    <n v="0"/>
    <n v="5.9575599719999999E-3"/>
    <n v="2.3638174056E-3"/>
    <n v="3.8934682200000002E-3"/>
    <n v="7.3282904999999995E-8"/>
    <n v="2.5782975528000001"/>
    <n v="91.142185072467001"/>
    <n v="3.0592036358765"/>
    <n v="2.5564345625274001"/>
    <n v="0.50276907334911003"/>
    <n v="5.2484512800391001E-2"/>
    <n v="5.2484512800391001E-2"/>
    <n v="0"/>
    <n v="0.11665019000601"/>
    <n v="0.11665019000601"/>
    <n v="0"/>
    <n v="4.0546850045269998E-4"/>
    <n v="1.6088020990091001E-4"/>
    <n v="2.6498746603362998E-4"/>
    <n v="4.9875972275261004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m/>
    <x v="8"/>
    <x v="0"/>
    <n v="1E-3"/>
    <m/>
    <m/>
    <m/>
    <m/>
    <m/>
    <m/>
    <x v="0"/>
    <x v="0"/>
    <n v="1"/>
    <n v="1E-3"/>
    <n v="1000"/>
    <n v="1"/>
    <m/>
    <n v="1"/>
    <n v="144.06360000000001"/>
    <n v="4.5304215583053002E-3"/>
    <s v="m²"/>
    <s v="kg"/>
    <n v="30358"/>
    <x v="0"/>
    <n v="1"/>
    <x v="0"/>
    <s v="ja"/>
    <n v="0"/>
    <x v="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.20903325266667"/>
    <n v="5.1178605076099997"/>
    <n v="1.3896411218976E-2"/>
    <n v="1.3896411218976E-2"/>
    <n v="0"/>
    <n v="8.7658628385277998E-4"/>
    <n v="8.7658628385277998E-4"/>
    <n v="0"/>
    <n v="7.1515032934529996E-4"/>
    <n v="7.3780243713682996E-4"/>
    <n v="-2.2652107791526999E-5"/>
    <n v="2.7345249407025999E-6"/>
    <n v="1.2353535836543001E-6"/>
    <n v="2.4956725536519997E-7"/>
    <n v="7.6392163124270997E-11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04379"/>
    <x v="14"/>
    <x v="0"/>
    <n v="1.2500000000000001E-2"/>
    <m/>
    <m/>
    <m/>
    <m/>
    <m/>
    <m/>
    <x v="0"/>
    <x v="0"/>
    <n v="1"/>
    <n v="1.2500000000000001E-2"/>
    <n v="1150"/>
    <n v="14.375"/>
    <m/>
    <n v="14.375"/>
    <n v="2070.9142499999998"/>
    <n v="6.5124809900639E-2"/>
    <s v="m²"/>
    <s v="kg"/>
    <n v="30358"/>
    <x v="0"/>
    <n v="2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77.641042499999998"/>
    <n v="77.641042499999998"/>
    <n v="0"/>
    <n v="46.456742624999997"/>
    <n v="46.456742624999997"/>
    <n v="0"/>
    <n v="1.21444528125"/>
    <n v="5.4119452812500004"/>
    <n v="-4.1974999999999998"/>
    <n v="2.2503605374999999E-2"/>
    <n v="6.9753718625000004E-3"/>
    <n v="1.9020863437499999E-3"/>
    <n v="5.5415100312499999E-7"/>
    <n v="5.7909230135416996"/>
    <n v="5.1178605076099997"/>
    <n v="0.35174665275130002"/>
    <n v="0.35174665275130002"/>
    <n v="0"/>
    <n v="0.21046862831693999"/>
    <n v="0.21046862831693999"/>
    <n v="0"/>
    <n v="5.5019490835572001E-3"/>
    <n v="2.4518393574543999E-2"/>
    <n v="-1.9016444490987001E-2"/>
    <n v="1.019508189305E-4"/>
    <n v="3.1601375063065998E-5"/>
    <n v="8.6172529774831006E-6"/>
    <n v="2.5105376511140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686781"/>
    <x v="15"/>
    <x v="0"/>
    <n v="2.9999999999999997E-4"/>
    <m/>
    <m/>
    <m/>
    <m/>
    <m/>
    <m/>
    <x v="0"/>
    <x v="0"/>
    <n v="1"/>
    <n v="2.9999999999999997E-4"/>
    <n v="300"/>
    <n v="0.09"/>
    <m/>
    <n v="0.09"/>
    <n v="12.965724"/>
    <n v="4.0773794024748E-4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15.47791254"/>
    <n v="7.8333125399999997"/>
    <n v="7.6445999999999996"/>
    <n v="0.23440984200000001"/>
    <n v="0.23440984200000001"/>
    <n v="0"/>
    <n v="0.51364663200000005"/>
    <n v="0.51553663199999999"/>
    <n v="-1.89E-3"/>
    <n v="1.4979239279999999E-3"/>
    <n v="2.8916292600000002E-4"/>
    <n v="4.4613770399999999E-4"/>
    <n v="7.04103732E-9"/>
    <n v="0.80126138039999995"/>
    <n v="5.1178605076099997"/>
    <n v="7.0121468648779994E-2"/>
    <n v="3.5488208004159E-2"/>
    <n v="3.4633260644621001E-2"/>
    <n v="1.0619754016757E-3"/>
    <n v="1.0619754016757E-3"/>
    <n v="0"/>
    <n v="2.3270357749636999E-3"/>
    <n v="2.3355982717089001E-3"/>
    <n v="-8.5624967451970005E-6"/>
    <n v="6.7862268561125998E-6"/>
    <n v="1.3100299538130001E-6"/>
    <n v="2.0211918721743998E-6"/>
    <n v="3.1898867267359999E-11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04379"/>
    <x v="14"/>
    <x v="0"/>
    <n v="1.2500000000000001E-2"/>
    <m/>
    <m/>
    <m/>
    <m/>
    <m/>
    <m/>
    <x v="0"/>
    <x v="0"/>
    <n v="1"/>
    <n v="1.2500000000000001E-2"/>
    <n v="1150"/>
    <n v="14.375"/>
    <m/>
    <n v="14.375"/>
    <n v="2070.9142499999998"/>
    <n v="6.5124809900639E-2"/>
    <s v="m²"/>
    <s v="kg"/>
    <n v="30358"/>
    <x v="0"/>
    <n v="4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77.641042499999998"/>
    <n v="77.641042499999998"/>
    <n v="0"/>
    <n v="46.456742624999997"/>
    <n v="46.456742624999997"/>
    <n v="0"/>
    <n v="1.21444528125"/>
    <n v="5.4119452812500004"/>
    <n v="-4.1974999999999998"/>
    <n v="2.2503605374999999E-2"/>
    <n v="6.9753718625000004E-3"/>
    <n v="1.9020863437499999E-3"/>
    <n v="5.5415100312499999E-7"/>
    <n v="5.7909230135416996"/>
    <n v="5.1178605076099997"/>
    <n v="0.35174665275130002"/>
    <n v="0.35174665275130002"/>
    <n v="0"/>
    <n v="0.21046862831693999"/>
    <n v="0.21046862831693999"/>
    <n v="0"/>
    <n v="5.5019490835572001E-3"/>
    <n v="2.4518393574543999E-2"/>
    <n v="-1.9016444490987001E-2"/>
    <n v="1.019508189305E-4"/>
    <n v="3.1601375063065998E-5"/>
    <n v="8.6172529774831006E-6"/>
    <n v="2.5105376511140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17907"/>
    <x v="1"/>
    <x v="0"/>
    <n v="0.12"/>
    <m/>
    <m/>
    <m/>
    <m/>
    <m/>
    <m/>
    <x v="0"/>
    <x v="0"/>
    <n v="0.8"/>
    <n v="9.6000000000000002E-2"/>
    <n v="40"/>
    <n v="3.84"/>
    <m/>
    <n v="3.84"/>
    <n v="553.20422399999995"/>
    <n v="1.7396818783892001E-2"/>
    <s v="m²"/>
    <s v="kg"/>
    <n v="30358"/>
    <x v="0"/>
    <n v="5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81.957408000000001"/>
    <n v="81.957408000000001"/>
    <n v="0"/>
    <n v="3.0132387072000002"/>
    <n v="3.0132387072000002"/>
    <n v="0"/>
    <n v="6.6851754239999996"/>
    <n v="6.6851754239999996"/>
    <n v="0"/>
    <n v="4.5347808000000003E-2"/>
    <n v="1.1942766335999999E-2"/>
    <n v="1.9442810495999999E-2"/>
    <n v="2.692224E-7"/>
    <n v="9.8924839040000005"/>
    <n v="5.1178605076099997"/>
    <n v="0.37130160806601997"/>
    <n v="0.37130160806601997"/>
    <n v="0"/>
    <n v="1.3651241599419E-2"/>
    <n v="1.3651241599419E-2"/>
    <n v="0"/>
    <n v="3.0286662861941999E-2"/>
    <n v="3.0286662861941999E-2"/>
    <n v="0"/>
    <n v="2.0544468698509001E-4"/>
    <n v="5.4105766074417001E-5"/>
    <n v="8.8084127825122996E-5"/>
    <n v="1.219690964938699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18934"/>
    <x v="2"/>
    <x v="0"/>
    <n v="0.12"/>
    <m/>
    <m/>
    <m/>
    <m/>
    <m/>
    <m/>
    <x v="0"/>
    <x v="0"/>
    <n v="0.2"/>
    <n v="2.4E-2"/>
    <n v="475"/>
    <n v="11.4"/>
    <m/>
    <n v="11.4"/>
    <n v="1642.3250399999999"/>
    <n v="5.1646805764681003E-2"/>
    <s v="m²"/>
    <s v="kg"/>
    <n v="30358"/>
    <x v="0"/>
    <n v="5"/>
    <x v="1"/>
    <s v="ja"/>
    <n v="0"/>
    <x v="0"/>
    <n v="50"/>
    <s v="Sekundärkonstruktion"/>
    <m/>
    <m/>
    <n v="1"/>
    <m/>
    <n v="1"/>
    <m/>
    <n v="0"/>
    <n v="100"/>
    <n v="0"/>
    <m/>
    <n v="3.5879707999999999"/>
    <n v="3.5879707999999999"/>
    <n v="0"/>
    <n v="20.323786999999999"/>
    <n v="3.0837870000000001"/>
    <n v="17.239999999999998"/>
    <n v="-0.69825356999999999"/>
    <n v="0.21034643"/>
    <n v="-0.90859999999999996"/>
    <n v="1.2826999000000001E-3"/>
    <n v="5.8292358999999998E-4"/>
    <n v="5.0843204000000002E-4"/>
    <n v="1.8139999999999999E-8"/>
    <n v="0"/>
    <n v="0"/>
    <n v="6"/>
    <n v="40.902867120000003"/>
    <n v="40.902867120000003"/>
    <n v="0"/>
    <n v="231.69117180000001"/>
    <n v="35.155171799999998"/>
    <n v="196.536"/>
    <n v="-7.9600906980000001"/>
    <n v="2.3979493019999998"/>
    <n v="-10.358040000000001"/>
    <n v="1.462277886E-2"/>
    <n v="6.6453289259999996E-3"/>
    <n v="5.7961252559999999E-3"/>
    <n v="2.0679599999999999E-7"/>
    <n v="1.9864509690000001"/>
    <n v="5.1178605076099997"/>
    <n v="0.18530723099695001"/>
    <n v="0.18530723099695001"/>
    <n v="0"/>
    <n v="1.0496586795917"/>
    <n v="0.15926774820865"/>
    <n v="0.89039093138309"/>
    <n v="-3.6062566504285E-2"/>
    <n v="1.0863721213504001E-2"/>
    <n v="-4.6926287717788999E-2"/>
    <n v="6.6247352589675004E-5"/>
    <n v="3.010614142838E-5"/>
    <n v="2.625889081442E-5"/>
    <n v="9.3687305657130997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m/>
    <x v="16"/>
    <x v="0"/>
    <n v="6.0000000000000001E-3"/>
    <m/>
    <m/>
    <m/>
    <m/>
    <m/>
    <m/>
    <x v="0"/>
    <x v="0"/>
    <n v="1"/>
    <n v="6.0000000000000001E-3"/>
    <n v="130"/>
    <n v="0.78"/>
    <m/>
    <n v="0.78"/>
    <n v="112.369608"/>
    <n v="3.5337288154780998E-3"/>
    <s v="m²"/>
    <s v="kg"/>
    <n v="30358"/>
    <x v="0"/>
    <n v="6"/>
    <x v="0"/>
    <s v="ja"/>
    <n v="0"/>
    <x v="0"/>
    <n v="50"/>
    <s v="Sekundärkonstruktion"/>
    <m/>
    <m/>
    <n v="4"/>
    <m/>
    <n v="3"/>
    <m/>
    <n v="0"/>
    <n v="100"/>
    <n v="0"/>
    <m/>
    <n v="14.769349"/>
    <n v="13.220148999999999"/>
    <n v="1.5491999999999999"/>
    <n v="18.249452000000002"/>
    <n v="1.8490519999999999"/>
    <n v="16.400400000000001"/>
    <n v="-1.2006950000000001E-2"/>
    <n v="0.87899305000000005"/>
    <n v="-0.89100000000000001"/>
    <n v="3.4132364000000002E-3"/>
    <n v="1.5657657E-3"/>
    <n v="4.8339577999999999E-4"/>
    <n v="6.7269000000000005E-8"/>
    <n v="0"/>
    <n v="0"/>
    <n v="6"/>
    <n v="11.52009222"/>
    <n v="10.311716219999999"/>
    <n v="1.2083759999999999"/>
    <n v="14.23457256"/>
    <n v="1.44226056"/>
    <n v="12.792312000000001"/>
    <n v="-9.3654209999998999E-3"/>
    <n v="0.685614579"/>
    <n v="-0.69498000000000004"/>
    <n v="2.6623243919999999E-3"/>
    <n v="1.221297246E-3"/>
    <n v="3.7704870840000001E-4"/>
    <n v="5.2469820000000002E-8"/>
    <n v="0.73741875609999996"/>
    <n v="5.1178605076099997"/>
    <n v="5.2190874147153003E-2"/>
    <n v="4.6716421466214998E-2"/>
    <n v="5.4744526809386998E-3"/>
    <n v="6.4488614399085001E-2"/>
    <n v="6.5340483337174996E-3"/>
    <n v="5.7954566065368002E-2"/>
    <n v="-4.2429305201005002E-5"/>
    <n v="3.10612306939E-3"/>
    <n v="-3.1485523745909999E-3"/>
    <n v="1.2061451820719E-5"/>
    <n v="5.5329913723772997E-6"/>
    <n v="1.7081895970665E-6"/>
    <n v="2.3771040368839998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18764"/>
    <x v="17"/>
    <x v="0"/>
    <n v="8.0000000000000004E-4"/>
    <m/>
    <m/>
    <m/>
    <m/>
    <m/>
    <m/>
    <x v="0"/>
    <x v="0"/>
    <n v="1"/>
    <n v="8.0000000000000004E-4"/>
    <n v="220"/>
    <n v="0.17599999999999999"/>
    <m/>
    <n v="0.17599999999999999"/>
    <n v="25.3551936"/>
    <n v="7.9735419426173995E-4"/>
    <s v="m²"/>
    <s v="kg"/>
    <n v="30358"/>
    <x v="0"/>
    <n v="7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30.267917856"/>
    <n v="15.318477855999999"/>
    <n v="14.949439999999999"/>
    <n v="0.45840146879999999"/>
    <n v="0.45840146879999999"/>
    <n v="0"/>
    <n v="1.0044645247999999"/>
    <n v="1.0081605248000001"/>
    <n v="-3.6960000000000001E-3"/>
    <n v="2.9292734592000001E-3"/>
    <n v="5.6547416639999995E-4"/>
    <n v="8.7244706559999998E-4"/>
    <n v="1.3769139647999999E-8"/>
    <n v="1.5669111438933001"/>
    <n v="5.1178605076099997"/>
    <n v="0.13712642757984"/>
    <n v="6.9399162319245006E-2"/>
    <n v="6.7727265260592001E-2"/>
    <n v="2.0767518966102998E-3"/>
    <n v="2.0767518966102998E-3"/>
    <n v="0"/>
    <n v="4.5506477377067998E-3"/>
    <n v="4.5673921757863004E-3"/>
    <n v="-1.6744438079496E-5"/>
    <n v="1.3270843629730999E-5"/>
    <n v="2.5618363541233002E-6"/>
    <n v="3.9525529944744998E-6"/>
    <n v="6.2380007100615994E-11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m/>
    <x v="5"/>
    <x v="0"/>
    <n v="0.04"/>
    <m/>
    <m/>
    <m/>
    <m/>
    <m/>
    <m/>
    <x v="0"/>
    <x v="0"/>
    <n v="1"/>
    <n v="0.04"/>
    <n v="475"/>
    <n v="19"/>
    <m/>
    <n v="19"/>
    <n v="2737.2084"/>
    <n v="8.6078009607801001E-2"/>
    <s v="m²"/>
    <s v="kg"/>
    <n v="30358"/>
    <x v="0"/>
    <n v="8"/>
    <x v="0"/>
    <s v="ja"/>
    <n v="0"/>
    <x v="0"/>
    <n v="50"/>
    <s v="Sekundärkonstruktion"/>
    <m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0"/>
    <n v="0"/>
    <n v="6"/>
    <n v="174.8414751"/>
    <n v="167.74269509999999"/>
    <n v="7.0987799999999996"/>
    <n v="336.00000899999998"/>
    <n v="12.033289"/>
    <n v="323.96672000000001"/>
    <n v="-6.1804748500000004"/>
    <n v="9.6930751500000003"/>
    <n v="-15.87355"/>
    <n v="5.47464062E-2"/>
    <n v="2.6228548099999999E-2"/>
    <n v="1.9745472600000001E-2"/>
    <n v="8.3746299999999996E-7"/>
    <n v="12.097490855"/>
    <n v="5.1178605076099997"/>
    <n v="0.79210558807894005"/>
    <n v="0.75994512212928"/>
    <n v="3.2160465949666997E-2"/>
    <n v="1.5222216843644001"/>
    <n v="5.4515871902917998E-2"/>
    <n v="1.4677058124614999"/>
    <n v="-2.8000156501004E-2"/>
    <n v="4.3913716625834001E-2"/>
    <n v="-7.1913873126837002E-2"/>
    <n v="2.4802429888822001E-4"/>
    <n v="1.1882637975529E-4"/>
    <n v="8.9455314745967004E-5"/>
    <n v="3.794060429483000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2"/>
    <x v="3"/>
    <n v="102"/>
    <s v="opake Bauteile"/>
    <s v="nein"/>
    <n v="144.06360000000001"/>
    <m/>
    <n v="2142717929"/>
    <x v="13"/>
    <x v="0"/>
    <n v="8.9999999999999993E-3"/>
    <m/>
    <m/>
    <m/>
    <m/>
    <m/>
    <m/>
    <x v="0"/>
    <x v="0"/>
    <n v="1"/>
    <n v="8.9999999999999993E-3"/>
    <n v="38"/>
    <n v="0.34200000000000003"/>
    <m/>
    <n v="0.34200000000000003"/>
    <n v="49.269751200000002"/>
    <n v="1.5494041729404E-3"/>
    <s v="m²"/>
    <s v="kg"/>
    <n v="30358"/>
    <x v="0"/>
    <n v="9"/>
    <x v="0"/>
    <s v="ja"/>
    <n v="0"/>
    <x v="0"/>
    <n v="50"/>
    <s v="Sekundärkonstruktion"/>
    <m/>
    <m/>
    <n v="5"/>
    <m/>
    <n v="4"/>
    <m/>
    <n v="0"/>
    <n v="100"/>
    <n v="0"/>
    <m/>
    <n v="131.42972"/>
    <n v="109.82971999999999"/>
    <n v="21.6"/>
    <n v="2.2548433000000001"/>
    <n v="2.2548433000000001"/>
    <n v="0"/>
    <n v="5.0115335999999999"/>
    <n v="5.0115335999999999"/>
    <n v="0"/>
    <n v="1.7419766E-2"/>
    <n v="6.9117468000000001E-3"/>
    <n v="1.1384409999999999E-2"/>
    <n v="2.1427749999999999E-7"/>
    <n v="0"/>
    <n v="0"/>
    <n v="6"/>
    <n v="44.948964240000002"/>
    <n v="37.561764240000002"/>
    <n v="7.3872"/>
    <n v="0.77115640860000001"/>
    <n v="0.77115640860000001"/>
    <n v="0"/>
    <n v="1.7139444911999999"/>
    <n v="1.7139444911999999"/>
    <n v="0"/>
    <n v="5.9575599719999999E-3"/>
    <n v="2.3638174056E-3"/>
    <n v="3.8934682200000002E-3"/>
    <n v="7.3282904999999995E-8"/>
    <n v="2.5782975528000001"/>
    <n v="5.1178605076099997"/>
    <n v="0.20363775661639"/>
    <n v="0.17017062648087999"/>
    <n v="3.3467130135513001E-2"/>
    <n v="3.4936636183466999E-3"/>
    <n v="3.4936636183466999E-3"/>
    <n v="0"/>
    <n v="7.7648910726711004E-3"/>
    <n v="7.7648910726711004E-3"/>
    <n v="0"/>
    <n v="2.6990258132045999E-5"/>
    <n v="1.0709089334228E-5"/>
    <n v="1.7639052360464998E-5"/>
    <n v="3.3200245266724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18"/>
    <x v="0"/>
    <n v="0.04"/>
    <m/>
    <m/>
    <m/>
    <m/>
    <m/>
    <m/>
    <x v="1"/>
    <x v="1"/>
    <n v="1"/>
    <n v="0.04"/>
    <n v="2400"/>
    <n v="96"/>
    <m/>
    <n v="96"/>
    <n v="508800"/>
    <n v="16.000422652674001"/>
    <s v="m²"/>
    <s v="kg"/>
    <n v="30358"/>
    <x v="0"/>
    <n v="1"/>
    <x v="0"/>
    <s v="ja"/>
    <n v="0"/>
    <x v="0"/>
    <n v="50"/>
    <s v="Tertiärkonstruktion - Boden- und Wandbeläge, 50a"/>
    <m/>
    <m/>
    <m/>
    <m/>
    <m/>
    <m/>
    <n v="0"/>
    <n v="0"/>
    <n v="0"/>
    <m/>
    <n v="0.70247170999999997"/>
    <n v="0.70247170999999997"/>
    <n v="0"/>
    <n v="3.7404760000000002E-2"/>
    <n v="3.7404760000000002E-2"/>
    <n v="0"/>
    <n v="9.2611880999999993E-2"/>
    <n v="9.2611880999999993E-2"/>
    <n v="0"/>
    <n v="1.6944177999999999E-4"/>
    <n v="1.1144267E-4"/>
    <n v="2.6770112999999999E-5"/>
    <n v="2.1878503000000001E-9"/>
    <n v="0"/>
    <n v="0"/>
    <n v="6"/>
    <n v="67.437284160000004"/>
    <n v="67.437284160000004"/>
    <n v="0"/>
    <n v="3.59085696"/>
    <n v="3.59085696"/>
    <n v="0"/>
    <n v="8.8907405760000007"/>
    <n v="8.8907405760000007"/>
    <n v="0"/>
    <n v="1.6266410879999998E-2"/>
    <n v="1.0698496320000001E-2"/>
    <n v="2.5699308479999999E-3"/>
    <n v="2.100336288E-7"/>
    <n v="5.8985543519999997"/>
    <n v="139.37849225132999"/>
    <n v="11.239844261547001"/>
    <n v="11.239844261547001"/>
    <n v="0"/>
    <n v="0.59849196922183001"/>
    <n v="0.59849196922183001"/>
    <n v="0"/>
    <n v="1.4818292386591001"/>
    <n v="1.4818292386591001"/>
    <n v="0"/>
    <n v="2.7111400950213999E-3"/>
    <n v="1.7831298215425001E-3"/>
    <n v="4.2833312245983999E-4"/>
    <n v="3.5006529500779003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19"/>
    <x v="0"/>
    <n v="0.05"/>
    <m/>
    <m/>
    <m/>
    <m/>
    <m/>
    <m/>
    <x v="1"/>
    <x v="1"/>
    <n v="1"/>
    <n v="0.05"/>
    <n v="1800"/>
    <n v="90"/>
    <m/>
    <n v="90"/>
    <n v="477000"/>
    <n v="15.000396236882001"/>
    <s v="m²"/>
    <s v="kg"/>
    <n v="30358"/>
    <x v="0"/>
    <n v="2"/>
    <x v="0"/>
    <s v="ja"/>
    <n v="0"/>
    <x v="0"/>
    <n v="50"/>
    <s v="Sekundärkonstruktion"/>
    <m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n v="4.8332080000000003E-5"/>
    <n v="1.4589555E-5"/>
    <n v="5.2414253000000002E-6"/>
    <n v="7.5267095999999998E-10"/>
    <n v="1"/>
    <n v="0"/>
    <n v="6"/>
    <n v="9.3337559999999993"/>
    <n v="9.3337559999999993"/>
    <n v="0"/>
    <n v="0.23579745299999999"/>
    <n v="0.23579745299999999"/>
    <n v="0"/>
    <n v="0.63713972699999999"/>
    <n v="0.63713972699999999"/>
    <n v="0"/>
    <n v="4.3498872000000003E-3"/>
    <n v="1.31305995E-3"/>
    <n v="4.7172827700000001E-4"/>
    <n v="6.7740386400000001E-8"/>
    <n v="0.9973001145"/>
    <n v="139.37849225132999"/>
    <n v="1.5556670930930001"/>
    <n v="1.5556670930930001"/>
    <n v="0"/>
    <n v="3.9300613629417003E-2"/>
    <n v="3.9300613629417003E-2"/>
    <n v="0"/>
    <n v="0.10619275959176"/>
    <n v="0.10619275959176"/>
    <n v="0"/>
    <n v="7.2500035095266998E-4"/>
    <n v="2.1884910591977999E-4"/>
    <n v="7.8623456346017001E-5"/>
    <n v="1.1290362635994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20"/>
    <x v="0"/>
    <n v="5.0000000000000001E-3"/>
    <m/>
    <m/>
    <m/>
    <m/>
    <m/>
    <m/>
    <x v="1"/>
    <x v="1"/>
    <n v="1"/>
    <n v="5.0000000000000001E-3"/>
    <n v="300"/>
    <n v="1.5"/>
    <m/>
    <n v="1.5"/>
    <n v="7950"/>
    <n v="0.25000660394802998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n v="1.17350622E-7"/>
    <n v="13.354356340000001"/>
    <n v="139.37849225132999"/>
    <n v="42.995337225889003"/>
    <n v="21.759776286543001"/>
    <n v="21.235560939346001"/>
    <n v="0.65115565033792999"/>
    <n v="0.65115565033792999"/>
    <n v="0"/>
    <n v="1.4268338899518"/>
    <n v="1.4320840286347001"/>
    <n v="-5.2501386829086E-3"/>
    <n v="4.1610097134640997E-3"/>
    <n v="8.0325156796595004E-4"/>
    <n v="1.2393041363357E-3"/>
    <n v="1.9558953651606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21"/>
    <x v="0"/>
    <n v="0.01"/>
    <m/>
    <m/>
    <m/>
    <m/>
    <m/>
    <m/>
    <x v="1"/>
    <x v="1"/>
    <n v="1"/>
    <n v="0.01"/>
    <n v="1100"/>
    <n v="11"/>
    <m/>
    <n v="11"/>
    <n v="58300"/>
    <n v="1.8333817622855"/>
    <s v="m²"/>
    <s v="kg"/>
    <n v="30358"/>
    <x v="0"/>
    <n v="4"/>
    <x v="0"/>
    <s v="ja"/>
    <n v="1"/>
    <x v="1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n v="3.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n v="6.9587836999999999E-6"/>
    <n v="49.843088936667002"/>
    <n v="139.37849225132999"/>
    <n v="152.52284590535999"/>
    <n v="63.212953442794998"/>
    <n v="89.309892462568001"/>
    <n v="2.4360287579294999"/>
    <n v="2.4360287579294999"/>
    <n v="0"/>
    <n v="3.0177096764190998"/>
    <n v="3.0213764399437002"/>
    <n v="-3.6667635245711001E-3"/>
    <n v="2.0402658404813E-2"/>
    <n v="6.6559678180177998E-3"/>
    <n v="4.1730258642051999E-3"/>
    <n v="1.1598279202973E-6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n v="2142717437"/>
    <x v="22"/>
    <x v="0"/>
    <n v="0.26"/>
    <m/>
    <m/>
    <m/>
    <m/>
    <m/>
    <m/>
    <x v="1"/>
    <x v="1"/>
    <n v="1"/>
    <n v="0.26"/>
    <n v="23"/>
    <n v="5.98"/>
    <m/>
    <n v="5.98"/>
    <n v="31694"/>
    <n v="0.99669299440614001"/>
    <s v="m²"/>
    <s v="kg"/>
    <n v="30358"/>
    <x v="0"/>
    <n v="5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591.39520960000004"/>
    <n v="352.1952096"/>
    <n v="239.2"/>
    <n v="5.7369585676000003"/>
    <n v="5.7369585676000003"/>
    <n v="0"/>
    <n v="25.148176586000002"/>
    <n v="25.148176586000002"/>
    <n v="0"/>
    <n v="8.9104625219999997E-2"/>
    <n v="1.561712581E-2"/>
    <n v="5.4643513573999998E-2"/>
    <n v="7.8909688E-7"/>
    <n v="35.785153113667"/>
    <n v="139.37849225132999"/>
    <n v="98.568471962152003"/>
    <n v="58.700752185907"/>
    <n v="39.867719776245998"/>
    <n v="0.95618501898414998"/>
    <n v="0.95618501898414998"/>
    <n v="0"/>
    <n v="4.1914734825008004"/>
    <n v="4.1914734825008004"/>
    <n v="0"/>
    <n v="1.4851163164876001E-2"/>
    <n v="2.6029230581248002E-3"/>
    <n v="9.1074928376157997E-3"/>
    <n v="1.3151962076985999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n v="2142718135"/>
    <x v="23"/>
    <x v="0"/>
    <n v="0.04"/>
    <m/>
    <m/>
    <m/>
    <m/>
    <m/>
    <m/>
    <x v="1"/>
    <x v="1"/>
    <n v="1"/>
    <n v="0.04"/>
    <n v="17"/>
    <n v="0.68"/>
    <m/>
    <n v="0.68"/>
    <n v="3604"/>
    <n v="0.11333632712311"/>
    <s v="m²"/>
    <s v="kg"/>
    <n v="30358"/>
    <x v="0"/>
    <n v="6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67.248953599999993"/>
    <n v="40.048953599999997"/>
    <n v="27.2"/>
    <n v="0.65236318159999995"/>
    <n v="0.65236318159999995"/>
    <n v="0"/>
    <n v="2.8596588760000001"/>
    <n v="2.8596588760000001"/>
    <n v="0"/>
    <n v="1.0132298519999999E-2"/>
    <n v="1.7758604600000001E-3"/>
    <n v="6.2136436840000003E-3"/>
    <n v="8.9730079999999996E-8"/>
    <n v="4.0692147353332997"/>
    <n v="139.37849225132999"/>
    <n v="11.20845500573"/>
    <n v="6.6750019208055003"/>
    <n v="4.5334530849243002"/>
    <n v="0.10873006904836"/>
    <n v="0.10873006904836"/>
    <n v="0"/>
    <n v="0.47662240269240003"/>
    <n v="0.47662240269240003"/>
    <n v="0"/>
    <n v="1.6887610287819E-3"/>
    <n v="2.9598456179346001E-4"/>
    <n v="1.0356346370533E-3"/>
    <n v="1.4955408381856999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24"/>
    <x v="0"/>
    <n v="5.0000000000000001E-3"/>
    <m/>
    <m/>
    <m/>
    <m/>
    <m/>
    <m/>
    <x v="1"/>
    <x v="1"/>
    <n v="1"/>
    <n v="5.0000000000000001E-3"/>
    <n v="1100"/>
    <n v="5.5"/>
    <m/>
    <n v="5.5"/>
    <n v="29150"/>
    <n v="0.91669088114276998"/>
    <s v="m²"/>
    <s v="kg"/>
    <n v="30358"/>
    <x v="0"/>
    <n v="7"/>
    <x v="0"/>
    <s v="ja"/>
    <n v="0"/>
    <x v="0"/>
    <n v="35"/>
    <s v="Gebäudeabdichtung/Folien, 35a"/>
    <n v="50"/>
    <m/>
    <n v="5"/>
    <m/>
    <n v="5"/>
    <m/>
    <n v="0"/>
    <n v="100"/>
    <n v="0"/>
    <m/>
    <n v="51.201659999999997"/>
    <n v="25.131136000000001"/>
    <n v="26.070523999999999"/>
    <n v="2.4764841999999998"/>
    <n v="2.4764841999999998"/>
    <n v="0"/>
    <n v="1.6023311"/>
    <n v="1.6263311"/>
    <n v="-2.4E-2"/>
    <n v="8.6886602999999996E-3"/>
    <n v="2.0917025000000001E-3"/>
    <n v="1.2318813000000001E-3"/>
    <n v="3.3591714999999999E-7"/>
    <n v="0"/>
    <n v="0"/>
    <n v="6"/>
    <n v="281.60912999999999"/>
    <n v="138.221248"/>
    <n v="143.38788199999999"/>
    <n v="13.6206631"/>
    <n v="13.6206631"/>
    <n v="0"/>
    <n v="8.8128210500000002"/>
    <n v="8.9448210499999998"/>
    <n v="-0.13200000000000001"/>
    <n v="4.7787631650000002E-2"/>
    <n v="1.150436375E-2"/>
    <n v="6.7753471500000004E-3"/>
    <n v="1.8475443250000001E-6"/>
    <n v="17.227458728333001"/>
    <n v="139.37849225132999"/>
    <n v="46.936094821372997"/>
    <n v="23.037483203958999"/>
    <n v="23.898611617414002"/>
    <n v="2.2701704834342"/>
    <n v="2.2701704834342"/>
    <n v="0"/>
    <n v="1.4688423079415001"/>
    <n v="1.4908428890889001"/>
    <n v="-2.2000581147426999E-2"/>
    <n v="7.9648156663572004E-3"/>
    <n v="1.9174446078135E-3"/>
    <n v="1.1292543543602999E-3"/>
    <n v="3.0793218822447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4"/>
    <x v="4"/>
    <n v="114"/>
    <s v="opake Bauteile"/>
    <s v="nein"/>
    <n v="5300"/>
    <m/>
    <m/>
    <x v="0"/>
    <x v="0"/>
    <n v="0.22"/>
    <m/>
    <m/>
    <m/>
    <m/>
    <m/>
    <m/>
    <x v="1"/>
    <x v="1"/>
    <n v="1"/>
    <n v="0.22"/>
    <n v="475"/>
    <n v="104.5"/>
    <m/>
    <n v="104.5"/>
    <n v="553850"/>
    <n v="17.417126741712998"/>
    <s v="m²"/>
    <s v="kg"/>
    <n v="30358"/>
    <x v="0"/>
    <n v="8"/>
    <x v="0"/>
    <s v="ja"/>
    <n v="0"/>
    <x v="0"/>
    <n v="50"/>
    <s v="Sekundärkonstruktion"/>
    <m/>
    <m/>
    <n v="1"/>
    <m/>
    <n v="1"/>
    <m/>
    <n v="0"/>
    <n v="100"/>
    <n v="0"/>
    <m/>
    <n v="7.3674311000000001"/>
    <n v="7.0057344636360002"/>
    <n v="0.36169663636400001"/>
    <n v="14.931191"/>
    <n v="0.53119099999999997"/>
    <n v="14.4"/>
    <n v="-0.42124977000000002"/>
    <n v="0.42520023000000001"/>
    <n v="-0.84645000000000004"/>
    <n v="2.1681996000000002E-3"/>
    <n v="8.9600653000000002E-4"/>
    <n v="7.5086816999999999E-4"/>
    <n v="3.6616000000000002E-8"/>
    <n v="0"/>
    <n v="0"/>
    <n v="6"/>
    <n v="769.89654995000001"/>
    <n v="732.09925144995998"/>
    <n v="37.797298500038004"/>
    <n v="1560.3094595"/>
    <n v="55.509459499999998"/>
    <n v="1504.8"/>
    <n v="-44.020600965"/>
    <n v="44.433424035000002"/>
    <n v="-88.454025000000001"/>
    <n v="0.22657685820000001"/>
    <n v="9.3632682384999999E-2"/>
    <n v="7.8465723764999995E-2"/>
    <n v="3.8263720000000004E-6"/>
    <n v="48.536699264166998"/>
    <n v="139.37849225132999"/>
    <n v="128.31948122954"/>
    <n v="122.01976507193"/>
    <n v="6.2997161576030001"/>
    <n v="260.05844605172001"/>
    <n v="9.2518209710571"/>
    <n v="250.80662508066001"/>
    <n v="-7.3369606340073004"/>
    <n v="7.4057662965153996"/>
    <n v="-14.742726930523"/>
    <n v="3.7763807234531002E-2"/>
    <n v="1.5605859294412E-2"/>
    <n v="1.3077966083207999E-2"/>
    <n v="6.3774551277454998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18"/>
    <x v="0"/>
    <n v="0.04"/>
    <m/>
    <m/>
    <m/>
    <m/>
    <m/>
    <m/>
    <x v="1"/>
    <x v="1"/>
    <n v="1"/>
    <n v="0.04"/>
    <n v="2400"/>
    <n v="96"/>
    <m/>
    <n v="96"/>
    <n v="60192"/>
    <n v="1.8928801892880001"/>
    <s v="m²"/>
    <s v="kg"/>
    <n v="30358"/>
    <x v="0"/>
    <n v="1"/>
    <x v="0"/>
    <s v="ja"/>
    <n v="0"/>
    <x v="0"/>
    <n v="50"/>
    <s v="Tertiärkonstruktion - Boden- und Wandbeläge, 50a"/>
    <m/>
    <m/>
    <m/>
    <m/>
    <m/>
    <m/>
    <n v="0"/>
    <n v="0"/>
    <n v="0"/>
    <m/>
    <n v="0.70247170999999997"/>
    <n v="0.70247170999999997"/>
    <n v="0"/>
    <n v="3.7404760000000002E-2"/>
    <n v="3.7404760000000002E-2"/>
    <n v="0"/>
    <n v="9.2611880999999993E-2"/>
    <n v="9.2611880999999993E-2"/>
    <n v="0"/>
    <n v="1.6944177999999999E-4"/>
    <n v="1.1144267E-4"/>
    <n v="2.6770112999999999E-5"/>
    <n v="2.1878503000000001E-9"/>
    <n v="0"/>
    <n v="0"/>
    <n v="6"/>
    <n v="67.437284160000004"/>
    <n v="67.437284160000004"/>
    <n v="0"/>
    <n v="3.59085696"/>
    <n v="3.59085696"/>
    <n v="0"/>
    <n v="8.8907405760000007"/>
    <n v="8.8907405760000007"/>
    <n v="0"/>
    <n v="1.6266410879999998E-2"/>
    <n v="1.0698496320000001E-2"/>
    <n v="2.5699308479999999E-3"/>
    <n v="2.100336288E-7"/>
    <n v="5.8985543519999997"/>
    <n v="160.71530899845001"/>
    <n v="1.3296947833943"/>
    <n v="1.3296947833943"/>
    <n v="0"/>
    <n v="7.0802729189073002E-2"/>
    <n v="7.0802729189073002E-2"/>
    <n v="0"/>
    <n v="0.17530319483760001"/>
    <n v="0.17530319483760001"/>
    <n v="0"/>
    <n v="3.2073298859969999E-4"/>
    <n v="2.1094762228436001E-4"/>
    <n v="5.0672616562702002E-5"/>
    <n v="4.141338489997799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19"/>
    <x v="0"/>
    <n v="5.2999999999999999E-2"/>
    <m/>
    <m/>
    <m/>
    <m/>
    <m/>
    <m/>
    <x v="1"/>
    <x v="1"/>
    <n v="1"/>
    <n v="5.2999999999999999E-2"/>
    <n v="1800"/>
    <n v="95.4"/>
    <m/>
    <n v="95.4"/>
    <n v="59815.8"/>
    <n v="1.8810496881050001"/>
    <s v="m²"/>
    <s v="kg"/>
    <n v="30358"/>
    <x v="0"/>
    <n v="2"/>
    <x v="0"/>
    <s v="ja"/>
    <n v="0"/>
    <x v="0"/>
    <n v="50"/>
    <s v="Sekundärkonstruktion"/>
    <m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n v="4.8332080000000003E-5"/>
    <n v="1.4589555E-5"/>
    <n v="5.2414253000000002E-6"/>
    <n v="7.5267095999999998E-10"/>
    <n v="1"/>
    <n v="0"/>
    <n v="6"/>
    <n v="9.8937813600000002"/>
    <n v="9.8937813600000002"/>
    <n v="0"/>
    <n v="0.24994530018"/>
    <n v="0.24994530018"/>
    <n v="0"/>
    <n v="0.67536811062000002"/>
    <n v="0.67536811062000002"/>
    <n v="0"/>
    <n v="4.6108804320000004E-3"/>
    <n v="1.391843547E-3"/>
    <n v="5.0003197362000001E-4"/>
    <n v="7.1804809584000003E-8"/>
    <n v="1.05713812137"/>
    <n v="160.71530899845001"/>
    <n v="0.19508065347386999"/>
    <n v="0.19508065347386999"/>
    <n v="0"/>
    <n v="4.9282969491288003E-3"/>
    <n v="4.9282969491288003E-3"/>
    <n v="0"/>
    <n v="1.3316572052807001E-2"/>
    <n v="1.3316572052807001E-2"/>
    <n v="0"/>
    <n v="9.0915044009463994E-5"/>
    <n v="2.7443677882340001E-5"/>
    <n v="9.8593814257905001E-6"/>
    <n v="1.4158114745537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20"/>
    <x v="0"/>
    <n v="5.0000000000000001E-3"/>
    <m/>
    <m/>
    <m/>
    <m/>
    <m/>
    <m/>
    <x v="1"/>
    <x v="1"/>
    <n v="1"/>
    <n v="5.0000000000000001E-3"/>
    <n v="300"/>
    <n v="1.5"/>
    <m/>
    <n v="1.5"/>
    <n v="940.5"/>
    <n v="2.9576252957625001E-2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n v="1.17350622E-7"/>
    <n v="13.354356340000001"/>
    <n v="160.71530899845001"/>
    <n v="5.0864295171005001"/>
    <n v="2.5742225908798"/>
    <n v="2.5122069262207001"/>
    <n v="7.7032942030544005E-2"/>
    <n v="7.7032942030544005E-2"/>
    <n v="0"/>
    <n v="0.16879714132071"/>
    <n v="0.16941824263281999"/>
    <n v="-6.2110131211013005E-4"/>
    <n v="4.9225530006453001E-4"/>
    <n v="9.5026176059368007E-5"/>
    <n v="1.4661201763819999E-4"/>
    <n v="2.313861120671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21"/>
    <x v="0"/>
    <n v="0.01"/>
    <m/>
    <m/>
    <m/>
    <m/>
    <m/>
    <m/>
    <x v="1"/>
    <x v="1"/>
    <n v="1"/>
    <n v="0.01"/>
    <n v="1100"/>
    <n v="11"/>
    <m/>
    <n v="11"/>
    <n v="6897"/>
    <n v="0.21689252168925"/>
    <s v="m²"/>
    <s v="kg"/>
    <n v="30358"/>
    <x v="0"/>
    <n v="4"/>
    <x v="0"/>
    <s v="ja"/>
    <n v="1"/>
    <x v="1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n v="3.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n v="6.9587836999999999E-6"/>
    <n v="49.843088936667002"/>
    <n v="160.71530899845001"/>
    <n v="18.043740449558999"/>
    <n v="7.4782116620062"/>
    <n v="10.565528787552999"/>
    <n v="0.28818679834373001"/>
    <n v="0.28818679834373001"/>
    <n v="0"/>
    <n v="0.35700074851222002"/>
    <n v="0.35743453355560001"/>
    <n v="-4.3378504337850002E-4"/>
    <n v="2.4136729848712999E-3"/>
    <n v="7.8741355130135997E-4"/>
    <n v="4.9367683336917995E-4"/>
    <n v="1.3720983132573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n v="2142717435"/>
    <x v="25"/>
    <x v="0"/>
    <n v="0.22500000000000001"/>
    <m/>
    <m/>
    <m/>
    <m/>
    <m/>
    <m/>
    <x v="1"/>
    <x v="1"/>
    <n v="1"/>
    <n v="0.22500000000000001"/>
    <n v="23"/>
    <n v="5.1749999999999998"/>
    <m/>
    <n v="5.1749999999999998"/>
    <n v="3244.7249999999999"/>
    <n v="0.10203807270381"/>
    <s v="m²"/>
    <s v="kg"/>
    <n v="30358"/>
    <x v="0"/>
    <n v="5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511.78431599999999"/>
    <n v="304.78431599999999"/>
    <n v="207"/>
    <n v="4.9646756835000003"/>
    <n v="4.9646756835000003"/>
    <n v="0"/>
    <n v="21.7628451225"/>
    <n v="21.7628451225"/>
    <n v="0"/>
    <n v="7.7109771825000006E-2"/>
    <n v="1.35148204125E-2"/>
    <n v="4.7287655977500002E-2"/>
    <n v="6.8287229999999995E-7"/>
    <n v="30.96792096375"/>
    <n v="160.71530899845001"/>
    <n v="10.091108259841"/>
    <n v="6.0095853516885001"/>
    <n v="4.0815229081522997"/>
    <n v="9.7891002578512007E-2"/>
    <n v="9.7891002578512007E-2"/>
    <n v="0"/>
    <n v="0.42910894161378998"/>
    <n v="0.42910894161378998"/>
    <n v="0"/>
    <n v="1.5204120780006E-3"/>
    <n v="2.6647849813132E-4"/>
    <n v="9.3239444997580002E-4"/>
    <n v="1.3464535921703999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24"/>
    <x v="0"/>
    <n v="5.0000000000000001E-3"/>
    <m/>
    <m/>
    <m/>
    <m/>
    <m/>
    <m/>
    <x v="1"/>
    <x v="1"/>
    <n v="1"/>
    <n v="5.0000000000000001E-3"/>
    <n v="1100"/>
    <n v="5.5"/>
    <m/>
    <n v="5.5"/>
    <n v="3448.5"/>
    <n v="0.10844626084462999"/>
    <s v="m²"/>
    <s v="kg"/>
    <n v="30358"/>
    <x v="0"/>
    <n v="6"/>
    <x v="0"/>
    <s v="ja"/>
    <n v="1"/>
    <x v="2"/>
    <n v="35"/>
    <s v="Gebäudeabdichtung/Folien, 35a"/>
    <m/>
    <m/>
    <n v="5"/>
    <m/>
    <n v="5"/>
    <m/>
    <n v="0"/>
    <n v="100"/>
    <n v="0"/>
    <m/>
    <n v="51.201659999999997"/>
    <n v="25.131136000000001"/>
    <n v="26.070523999999999"/>
    <n v="2.4764841999999998"/>
    <n v="2.4764841999999998"/>
    <n v="0"/>
    <n v="1.6023311"/>
    <n v="1.6263311"/>
    <n v="-2.4E-2"/>
    <n v="8.6886602999999996E-3"/>
    <n v="2.0917025000000001E-3"/>
    <n v="1.2318813000000001E-3"/>
    <n v="3.3591714999999999E-7"/>
    <n v="0"/>
    <n v="0"/>
    <n v="6"/>
    <n v="563.21825999999999"/>
    <n v="276.44249600000001"/>
    <n v="286.77576399999998"/>
    <n v="27.2413262"/>
    <n v="27.2413262"/>
    <n v="0"/>
    <n v="17.757642100000002"/>
    <n v="17.8896421"/>
    <n v="-0.13200000000000001"/>
    <n v="9.5575263300000005E-2"/>
    <n v="2.3008727499999999E-2"/>
    <n v="1.3550694300000001E-2"/>
    <n v="3.6950886500000001E-6"/>
    <n v="34.476917456667003"/>
    <n v="160.71530899845001"/>
    <n v="11.105257152076"/>
    <n v="5.4507554599555004"/>
    <n v="5.6545016921202"/>
    <n v="0.53713090306158995"/>
    <n v="0.53713090306158995"/>
    <n v="0"/>
    <n v="0.35013634312038"/>
    <n v="0.35273905338065997"/>
    <n v="-2.6027102602709999E-3"/>
    <n v="1.8845054425683E-3"/>
    <n v="4.5367462984871002E-4"/>
    <n v="2.6718584157882998E-4"/>
    <n v="7.2857917742167006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9"/>
    <x v="0"/>
    <n v="0.2"/>
    <m/>
    <m/>
    <m/>
    <m/>
    <m/>
    <m/>
    <x v="1"/>
    <x v="1"/>
    <n v="1"/>
    <n v="0.2"/>
    <n v="2325"/>
    <n v="465"/>
    <m/>
    <n v="465"/>
    <n v="291555"/>
    <n v="9.1686384168638"/>
    <s v="m²"/>
    <s v="kg"/>
    <n v="30358"/>
    <x v="0"/>
    <n v="7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n v="2.0985799679999999E-6"/>
    <n v="60.385712509999998"/>
    <n v="160.71530899845001"/>
    <n v="14.358132687136999"/>
    <n v="14.358132687136999"/>
    <n v="0"/>
    <n v="0.43528991990213001"/>
    <n v="0.43528991990213001"/>
    <n v="0"/>
    <n v="1.4019977715637999"/>
    <n v="1.4019977715637999"/>
    <n v="0"/>
    <n v="3.5878851548720001E-3"/>
    <n v="2.2606289317595001E-3"/>
    <n v="7.0773366328780001E-4"/>
    <n v="4.1378754656915003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m/>
    <x v="8"/>
    <x v="0"/>
    <n v="1E-3"/>
    <m/>
    <m/>
    <m/>
    <m/>
    <m/>
    <m/>
    <x v="1"/>
    <x v="1"/>
    <n v="1"/>
    <n v="1E-3"/>
    <n v="1000"/>
    <n v="1"/>
    <m/>
    <n v="1"/>
    <n v="627"/>
    <n v="1.9717501971749998E-2"/>
    <s v="m²"/>
    <s v="kg"/>
    <n v="30358"/>
    <x v="0"/>
    <n v="8"/>
    <x v="0"/>
    <s v="ja"/>
    <n v="0"/>
    <x v="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"/>
    <n v="0"/>
    <n v="6"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.20903325266667"/>
    <n v="160.71530899845001"/>
    <n v="6.0480578260557999E-2"/>
    <n v="6.0480578260557999E-2"/>
    <n v="0"/>
    <n v="3.8151177672617999E-3"/>
    <n v="3.8151177672617999E-3"/>
    <n v="0"/>
    <n v="3.1125090342009002E-3"/>
    <n v="3.2110965440597002E-3"/>
    <n v="-9.8587509858751E-5"/>
    <n v="1.1901320929232E-5"/>
    <n v="5.3765607478310998E-6"/>
    <n v="1.0861776959203E-6"/>
    <n v="3.3247736610023999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7"/>
    <x v="5"/>
    <n v="114"/>
    <s v="opake Bauteile"/>
    <s v="nein"/>
    <n v="627"/>
    <m/>
    <n v="2142685464"/>
    <x v="7"/>
    <x v="0"/>
    <n v="2E-3"/>
    <m/>
    <m/>
    <m/>
    <m/>
    <m/>
    <m/>
    <x v="1"/>
    <x v="1"/>
    <n v="1"/>
    <n v="2E-3"/>
    <n v="1300"/>
    <n v="2.6"/>
    <m/>
    <n v="2.6"/>
    <n v="1630.2"/>
    <n v="5.1265505126551002E-2"/>
    <s v="m²"/>
    <s v="kg"/>
    <n v="30358"/>
    <x v="0"/>
    <n v="9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160.71530899845001"/>
    <n v="0.21359767584427"/>
    <n v="0.21359767584427"/>
    <n v="0"/>
    <n v="3.3267015752492003E-2"/>
    <n v="3.3267015752492003E-2"/>
    <n v="0"/>
    <n v="1.8075523997992001E-2"/>
    <n v="1.8178055008246E-2"/>
    <n v="-1.025310102531E-4"/>
    <n v="5.0580767154226998E-5"/>
    <n v="2.0901674410267E-5"/>
    <n v="6.59435010755E-6"/>
    <n v="1.529658706531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m/>
    <x v="26"/>
    <x v="0"/>
    <n v="9.5000000000000001E-2"/>
    <m/>
    <m/>
    <m/>
    <m/>
    <m/>
    <m/>
    <x v="1"/>
    <x v="1"/>
    <n v="1"/>
    <n v="9.5000000000000001E-2"/>
    <n v="1700"/>
    <n v="161.5"/>
    <m/>
    <n v="161.5"/>
    <n v="204557.51500000001"/>
    <n v="6.4327961807795999"/>
    <s v="m²"/>
    <s v="kg"/>
    <n v="30358"/>
    <x v="0"/>
    <n v="1"/>
    <x v="0"/>
    <s v="ja"/>
    <n v="0"/>
    <x v="0"/>
    <n v="50"/>
    <s v="Sekundärkonstruktion"/>
    <m/>
    <m/>
    <n v="2"/>
    <m/>
    <n v="1"/>
    <m/>
    <n v="100"/>
    <n v="0"/>
    <n v="0"/>
    <m/>
    <n v="0.30813686000000001"/>
    <n v="0.30813686000000001"/>
    <n v="0"/>
    <n v="3.1284692000000001E-3"/>
    <n v="3.1284692000000001E-3"/>
    <n v="0"/>
    <n v="2.1635005999999998E-2"/>
    <n v="2.1635005999999998E-2"/>
    <n v="0"/>
    <n v="6.8032023000000005E-5"/>
    <n v="1.4694027000000001E-5"/>
    <n v="6.8277962999999998E-6"/>
    <n v="2.5662176999999999E-9"/>
    <n v="0"/>
    <n v="0"/>
    <n v="6"/>
    <n v="49.764102889999997"/>
    <n v="49.764102889999997"/>
    <n v="0"/>
    <n v="0.50524777580000002"/>
    <n v="0.50524777580000002"/>
    <n v="0"/>
    <n v="3.4940534689999998"/>
    <n v="3.4940534689999998"/>
    <n v="0"/>
    <n v="1.09871717145E-2"/>
    <n v="2.3730853605000001E-3"/>
    <n v="1.1026891024500001E-3"/>
    <n v="4.1444415854999998E-7"/>
    <n v="3.7061019031"/>
    <n v="112.79012359133"/>
    <n v="1.9821816161654"/>
    <n v="1.9821816161654"/>
    <n v="0"/>
    <n v="2.0124804721446999E-2"/>
    <n v="2.0124804721446999E-2"/>
    <n v="0"/>
    <n v="0.13917358396794"/>
    <n v="0.13917358396794"/>
    <n v="0"/>
    <n v="4.3763613772511E-4"/>
    <n v="9.4523680765872998E-5"/>
    <n v="4.3921821961781003E-5"/>
    <n v="1.6507955419608998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m/>
    <x v="20"/>
    <x v="0"/>
    <n v="5.0000000000000001E-3"/>
    <m/>
    <m/>
    <m/>
    <m/>
    <m/>
    <m/>
    <x v="1"/>
    <x v="1"/>
    <n v="1"/>
    <n v="5.0000000000000001E-3"/>
    <n v="300"/>
    <n v="1.5"/>
    <m/>
    <n v="1.5"/>
    <n v="1899.915"/>
    <n v="5.9747332948417997E-2"/>
    <s v="m²"/>
    <s v="kg"/>
    <n v="30358"/>
    <x v="0"/>
    <n v="2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57.96520900000002"/>
    <n v="130.55520899999999"/>
    <n v="127.41"/>
    <n v="3.9068307"/>
    <n v="3.9068307"/>
    <n v="0"/>
    <n v="8.5607772000000004"/>
    <n v="8.5922771999999998"/>
    <n v="-3.15E-2"/>
    <n v="2.49653988E-2"/>
    <n v="4.8193821000000001E-3"/>
    <n v="7.4356283999999998E-3"/>
    <n v="1.17350622E-7"/>
    <n v="13.354356340000001"/>
    <n v="112.79012359133"/>
    <n v="10.275155487487"/>
    <n v="5.2002170268487999"/>
    <n v="5.0749384606385997"/>
    <n v="0.15561514307067001"/>
    <n v="0.15561514307067001"/>
    <n v="0"/>
    <n v="0.34098907044374999"/>
    <n v="0.34224376443566001"/>
    <n v="-1.2546939919168001E-3"/>
    <n v="9.9441066286241994E-4"/>
    <n v="1.9196348462289999E-4"/>
    <n v="2.9617264379700999E-4"/>
    <n v="4.6742577895585997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m/>
    <x v="27"/>
    <x v="0"/>
    <n v="4.0000000000000001E-3"/>
    <m/>
    <m/>
    <m/>
    <m/>
    <m/>
    <m/>
    <x v="1"/>
    <x v="1"/>
    <n v="1"/>
    <n v="4.0000000000000001E-3"/>
    <n v="45"/>
    <n v="0.18"/>
    <m/>
    <n v="0.18"/>
    <n v="227.9898"/>
    <n v="7.1696799538101003E-3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98.257606999999993"/>
    <n v="75.307607000000004"/>
    <n v="22.95"/>
    <n v="5.7083662999999998"/>
    <n v="5.7083662999999998"/>
    <n v="0"/>
    <n v="5.5952704000000004"/>
    <n v="5.6032704000000004"/>
    <n v="-8.0000000000000002E-3"/>
    <n v="2.3853676000000001E-2"/>
    <n v="1.510738E-2"/>
    <n v="1.3843524000000001E-3"/>
    <n v="3.6442894000000001E-7"/>
    <n v="0"/>
    <n v="0"/>
    <n v="6"/>
    <n v="35.372738519999999"/>
    <n v="27.110738520000002"/>
    <n v="8.2620000000000005"/>
    <n v="2.0550118679999998"/>
    <n v="2.0550118679999998"/>
    <n v="0"/>
    <n v="2.0157373440000002"/>
    <n v="2.0171773439999998"/>
    <n v="-1.4400000000000001E-3"/>
    <n v="8.5873233599999994E-3"/>
    <n v="5.4386568000000003E-3"/>
    <n v="4.98366864E-4"/>
    <n v="1.3119441839999999E-7"/>
    <n v="2.6600239559999999"/>
    <n v="112.79012359133"/>
    <n v="1.4089511904345"/>
    <n v="1.0798628805546"/>
    <n v="0.32908830987988003"/>
    <n v="8.1854318860229994E-2"/>
    <n v="8.1854318860229994E-2"/>
    <n v="0"/>
    <n v="8.0289953485685003E-2"/>
    <n v="8.0347310925314996E-2"/>
    <n v="-5.7357439630480999E-5"/>
    <n v="3.4204644528375999E-4"/>
    <n v="2.1663015908118E-4"/>
    <n v="1.9850727302578001E-5"/>
    <n v="5.2256777314125003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m/>
    <x v="21"/>
    <x v="0"/>
    <n v="0.01"/>
    <m/>
    <m/>
    <m/>
    <m/>
    <m/>
    <m/>
    <x v="1"/>
    <x v="1"/>
    <n v="1"/>
    <n v="0.01"/>
    <n v="1100"/>
    <n v="11"/>
    <m/>
    <n v="11"/>
    <n v="13932.71"/>
    <n v="0.43814710828839998"/>
    <s v="m²"/>
    <s v="kg"/>
    <n v="30358"/>
    <x v="0"/>
    <n v="4"/>
    <x v="0"/>
    <s v="ja"/>
    <n v="1"/>
    <x v="1"/>
    <n v="25"/>
    <s v="Gebäudeabdichtung/Folien, 25a"/>
    <m/>
    <m/>
    <n v="3"/>
    <m/>
    <n v="5"/>
    <m/>
    <n v="0"/>
    <n v="100"/>
    <n v="0"/>
    <m/>
    <n v="41.596041"/>
    <n v="17.239440999999999"/>
    <n v="24.3566"/>
    <n v="0.66435392999999998"/>
    <n v="0.66435392999999998"/>
    <n v="0"/>
    <n v="0.82198998999999995"/>
    <n v="0.82398998999999995"/>
    <n v="-2E-3"/>
    <n v="5.5642143999999998E-3"/>
    <n v="1.8152159999999999E-3"/>
    <n v="1.1380679000000001E-3"/>
    <n v="3.1630835E-7"/>
    <n v="1"/>
    <n v="0"/>
    <n v="6"/>
    <n v="915.11290199999996"/>
    <n v="379.26770199999999"/>
    <n v="535.84519999999998"/>
    <n v="14.615786460000001"/>
    <n v="14.615786460000001"/>
    <n v="0"/>
    <n v="18.105779779999999"/>
    <n v="18.127779780000001"/>
    <n v="-2.1999999999999999E-2"/>
    <n v="0.1224127168"/>
    <n v="3.9934751999999997E-2"/>
    <n v="2.5037493800000001E-2"/>
    <n v="6.9587836999999999E-6"/>
    <n v="49.843088936667002"/>
    <n v="112.79012359133"/>
    <n v="36.450370160791003"/>
    <n v="15.106822445317"/>
    <n v="21.343547715473999"/>
    <n v="0.58216950661905997"/>
    <n v="0.58216950661905997"/>
    <n v="0"/>
    <n v="0.72118136853758996"/>
    <n v="0.72205766275417005"/>
    <n v="-8.7629421657679004E-4"/>
    <n v="4.8758888985133003E-3"/>
    <n v="1.5906632826376999E-3"/>
    <n v="9.9728231884168997E-4"/>
    <n v="2.7717917775995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36129"/>
    <x v="28"/>
    <x v="0"/>
    <n v="0.08"/>
    <m/>
    <m/>
    <m/>
    <m/>
    <m/>
    <m/>
    <x v="1"/>
    <x v="1"/>
    <n v="1"/>
    <n v="0.08"/>
    <n v="30"/>
    <n v="2.4"/>
    <m/>
    <n v="2.4"/>
    <n v="3039.864"/>
    <n v="9.5595732717468004E-2"/>
    <s v="m²"/>
    <s v="kg"/>
    <n v="30358"/>
    <x v="0"/>
    <n v="5"/>
    <x v="0"/>
    <s v="ja"/>
    <n v="0"/>
    <x v="0"/>
    <n v="50"/>
    <s v="Sekundärkonstruktion"/>
    <m/>
    <m/>
    <n v="5"/>
    <m/>
    <n v="4"/>
    <m/>
    <n v="0"/>
    <n v="100"/>
    <n v="0"/>
    <m/>
    <n v="94.039664000000002"/>
    <n v="63.369664"/>
    <n v="30.67"/>
    <n v="2.2950843999999999"/>
    <n v="2.2950843999999999"/>
    <n v="0"/>
    <n v="4.3072961000000003"/>
    <n v="4.3072961000000003"/>
    <n v="0"/>
    <n v="1.7704617999999998E-2"/>
    <n v="3.8300106000000002E-3"/>
    <n v="3.5497072000000001E-3"/>
    <n v="2.2388164000000001E-8"/>
    <n v="0"/>
    <n v="0"/>
    <n v="6"/>
    <n v="225.69519360000001"/>
    <n v="152.08719360000001"/>
    <n v="73.608000000000004"/>
    <n v="5.50820256"/>
    <n v="5.50820256"/>
    <n v="0"/>
    <n v="10.33751064"/>
    <n v="10.33751064"/>
    <n v="0"/>
    <n v="4.2491083200000002E-2"/>
    <n v="9.1920254399999995E-3"/>
    <n v="8.5192972799999992E-3"/>
    <n v="5.3731593599999997E-8"/>
    <n v="14.91156932"/>
    <n v="112.79012359133"/>
    <n v="8.9897905845844992"/>
    <n v="6.0578694621398004"/>
    <n v="2.9319211224447002"/>
    <n v="0.21940027486642999"/>
    <n v="0.21940027486642999"/>
    <n v="0"/>
    <n v="0.41175912671059001"/>
    <n v="0.41175912671059001"/>
    <n v="0"/>
    <n v="1.6924859301929E-3"/>
    <n v="3.6613266962267E-4"/>
    <n v="3.3933686071647003E-4"/>
    <n v="2.1402129417788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36129"/>
    <x v="28"/>
    <x v="0"/>
    <n v="0.08"/>
    <m/>
    <m/>
    <m/>
    <m/>
    <m/>
    <m/>
    <x v="1"/>
    <x v="1"/>
    <n v="1"/>
    <n v="0.08"/>
    <n v="30"/>
    <n v="2.4"/>
    <m/>
    <n v="2.4"/>
    <n v="3039.864"/>
    <n v="9.5595732717468004E-2"/>
    <s v="m²"/>
    <s v="kg"/>
    <n v="30358"/>
    <x v="0"/>
    <n v="6"/>
    <x v="0"/>
    <s v="ja"/>
    <n v="0"/>
    <x v="0"/>
    <n v="50"/>
    <s v="Sekundärkonstruktion"/>
    <m/>
    <m/>
    <n v="5"/>
    <m/>
    <n v="4"/>
    <m/>
    <n v="0"/>
    <n v="100"/>
    <n v="0"/>
    <m/>
    <n v="94.039664000000002"/>
    <n v="63.369664"/>
    <n v="30.67"/>
    <n v="2.2950843999999999"/>
    <n v="2.2950843999999999"/>
    <n v="0"/>
    <n v="4.3072961000000003"/>
    <n v="4.3072961000000003"/>
    <n v="0"/>
    <n v="1.7704617999999998E-2"/>
    <n v="3.8300106000000002E-3"/>
    <n v="3.5497072000000001E-3"/>
    <n v="2.2388164000000001E-8"/>
    <n v="0"/>
    <n v="0"/>
    <n v="6"/>
    <n v="225.69519360000001"/>
    <n v="152.08719360000001"/>
    <n v="73.608000000000004"/>
    <n v="5.50820256"/>
    <n v="5.50820256"/>
    <n v="0"/>
    <n v="10.33751064"/>
    <n v="10.33751064"/>
    <n v="0"/>
    <n v="4.2491083200000002E-2"/>
    <n v="9.1920254399999995E-3"/>
    <n v="8.5192972799999992E-3"/>
    <n v="5.3731593599999997E-8"/>
    <n v="14.91156932"/>
    <n v="112.79012359133"/>
    <n v="8.9897905845844992"/>
    <n v="6.0578694621398004"/>
    <n v="2.9319211224447002"/>
    <n v="0.21940027486642999"/>
    <n v="0.21940027486642999"/>
    <n v="0"/>
    <n v="0.41175912671059001"/>
    <n v="0.41175912671059001"/>
    <n v="0"/>
    <n v="1.6924859301929E-3"/>
    <n v="3.6613266962267E-4"/>
    <n v="3.3933686071647003E-4"/>
    <n v="2.1402129417788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17830"/>
    <x v="29"/>
    <x v="0"/>
    <n v="0.12"/>
    <m/>
    <m/>
    <m/>
    <m/>
    <m/>
    <m/>
    <x v="1"/>
    <x v="1"/>
    <n v="1"/>
    <n v="0.12"/>
    <n v="166"/>
    <n v="19.920000000000002"/>
    <m/>
    <n v="19.920000000000002"/>
    <n v="25230.871200000001"/>
    <n v="0.79344458155497999"/>
    <s v="m²"/>
    <s v="kg"/>
    <n v="30358"/>
    <x v="0"/>
    <n v="7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425.15405399999997"/>
    <n v="425.15405399999997"/>
    <n v="0"/>
    <n v="15.631175793600001"/>
    <n v="15.631175793600001"/>
    <n v="0"/>
    <n v="34.679347512"/>
    <n v="34.679347512"/>
    <n v="0"/>
    <n v="0.235241754"/>
    <n v="6.1953100368000003E-2"/>
    <n v="0.100859579448"/>
    <n v="1.3965911999999999E-6"/>
    <n v="51.317260251999997"/>
    <n v="112.79012359133"/>
    <n v="16.934547212472001"/>
    <n v="16.934547212472001"/>
    <n v="0"/>
    <n v="0.62261404301030998"/>
    <n v="0.62261404301030998"/>
    <n v="0"/>
    <n v="1.3813323481555999"/>
    <n v="1.3813323481555999"/>
    <n v="0"/>
    <n v="9.3700449330717996E-3"/>
    <n v="2.4676883432491001E-3"/>
    <n v="4.0173939162112997E-3"/>
    <n v="5.5628399612819998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32300"/>
    <x v="30"/>
    <x v="0"/>
    <n v="1E-3"/>
    <m/>
    <m/>
    <m/>
    <m/>
    <m/>
    <m/>
    <x v="1"/>
    <x v="1"/>
    <n v="1"/>
    <n v="1E-3"/>
    <n v="300"/>
    <n v="0.3"/>
    <m/>
    <n v="0.3"/>
    <n v="379.983"/>
    <n v="1.1949466589682999E-2"/>
    <s v="m²"/>
    <s v="kg"/>
    <n v="30358"/>
    <x v="0"/>
    <n v="8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112.79012359133"/>
    <n v="2.0550310974974999"/>
    <n v="1.0400434053698"/>
    <n v="1.0149876921276999"/>
    <n v="3.1123028614132998E-2"/>
    <n v="3.1123028614132998E-2"/>
    <n v="0"/>
    <n v="6.8197814088750003E-2"/>
    <n v="6.8448752887132994E-2"/>
    <n v="-2.5093879838335002E-4"/>
    <n v="1.9888213257248001E-4"/>
    <n v="3.8392696924579002E-5"/>
    <n v="5.9234528759400999E-5"/>
    <n v="9.3485155791171994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04059"/>
    <x v="31"/>
    <x v="0"/>
    <n v="0.24"/>
    <m/>
    <m/>
    <m/>
    <m/>
    <m/>
    <m/>
    <x v="1"/>
    <x v="1"/>
    <n v="1"/>
    <n v="0.24"/>
    <n v="475"/>
    <n v="114"/>
    <m/>
    <n v="114"/>
    <n v="144393.54"/>
    <n v="4.5407973040796996"/>
    <s v="m²"/>
    <s v="kg"/>
    <n v="30358"/>
    <x v="0"/>
    <n v="9"/>
    <x v="0"/>
    <s v="ja"/>
    <n v="0"/>
    <x v="0"/>
    <n v="50"/>
    <s v="Sekundärkonstruktion"/>
    <m/>
    <m/>
    <n v="1"/>
    <m/>
    <n v="1"/>
    <m/>
    <n v="0"/>
    <n v="100"/>
    <n v="0"/>
    <m/>
    <n v="2.1404299189999998"/>
    <n v="1.790871468"/>
    <n v="0.34955845099999999"/>
    <n v="17.769736464000001"/>
    <n v="1.7885062140000001"/>
    <n v="15.981230249999999"/>
    <n v="-1.5060725230000001"/>
    <n v="0.11415136400000001"/>
    <n v="-1.6202238870000001"/>
    <n v="4.83063691E-4"/>
    <m/>
    <m/>
    <m/>
    <n v="0"/>
    <n v="0"/>
    <n v="6"/>
    <n v="244.00901076599999"/>
    <n v="204.159347352"/>
    <n v="39.849663413999998"/>
    <n v="2025.749956896"/>
    <n v="203.889708396"/>
    <n v="1821.8602484999999"/>
    <n v="-171.692267622"/>
    <n v="13.013255495999999"/>
    <n v="-184.705523118"/>
    <n v="5.5069260773999998E-2"/>
    <m/>
    <m/>
    <m/>
    <n v="-13.1391761416"/>
    <n v="112.79012359133"/>
    <n v="9.7192584057667997"/>
    <n v="8.1319843338477007"/>
    <n v="1.5872740719191001"/>
    <n v="80.688771429938001"/>
    <n v="8.1212441948609992"/>
    <n v="72.567527235076994"/>
    <n v="-6.8387700521869998"/>
    <n v="0.51833820590822"/>
    <n v="-7.3571082580951996"/>
    <n v="2.1934943057916002E-3"/>
    <m/>
    <m/>
    <m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710458"/>
    <x v="11"/>
    <x v="0"/>
    <n v="1.7999999999999999E-2"/>
    <m/>
    <m/>
    <m/>
    <m/>
    <m/>
    <m/>
    <x v="1"/>
    <x v="1"/>
    <n v="1"/>
    <n v="1.7999999999999999E-2"/>
    <n v="1050"/>
    <n v="18.899999999999999"/>
    <m/>
    <n v="18.899999999999999"/>
    <n v="23938.929"/>
    <n v="0.75281639515006005"/>
    <s v="m²"/>
    <s v="kg"/>
    <n v="30358"/>
    <x v="0"/>
    <n v="10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112.79012359133"/>
    <n v="4.0660486769073003"/>
    <n v="4.0660486769073003"/>
    <n v="0"/>
    <n v="2.4329320009298998"/>
    <n v="2.4329320009298998"/>
    <n v="0"/>
    <n v="6.3600300433921994E-2"/>
    <n v="0.28342268781773999"/>
    <n v="-0.21982238738382001"/>
    <n v="1.1785101270461E-3"/>
    <n v="3.6529908176406001E-4"/>
    <n v="9.9611950230680998E-5"/>
    <n v="2.9020797255051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m/>
    <x v="8"/>
    <x v="0"/>
    <n v="2E-3"/>
    <m/>
    <m/>
    <m/>
    <m/>
    <m/>
    <m/>
    <x v="1"/>
    <x v="1"/>
    <n v="1"/>
    <n v="2E-3"/>
    <n v="1000"/>
    <n v="2"/>
    <m/>
    <n v="2"/>
    <n v="2533.2199999999998"/>
    <n v="7.9663110597889997E-2"/>
    <s v="m²"/>
    <s v="kg"/>
    <n v="30358"/>
    <x v="0"/>
    <n v="11"/>
    <x v="0"/>
    <s v="ja"/>
    <n v="0"/>
    <x v="0"/>
    <n v="50"/>
    <s v="Sekundärkonstruktion"/>
    <m/>
    <m/>
    <n v="4"/>
    <m/>
    <n v="5"/>
    <m/>
    <n v="100"/>
    <n v="0"/>
    <n v="0"/>
    <m/>
    <n v="3.0673550000000001"/>
    <n v="3.0673550000000001"/>
    <n v="0"/>
    <n v="0.19348889999999999"/>
    <n v="0.19348889999999999"/>
    <n v="0"/>
    <n v="0.15785514"/>
    <n v="0.16285514000000001"/>
    <n v="-5.0000000000000001E-3"/>
    <n v="6.0359172000000005E-4"/>
    <n v="2.7267961000000001E-4"/>
    <n v="5.5086983000000003E-5"/>
    <n v="1.6862043E-8"/>
    <n v="0"/>
    <n v="0"/>
    <n v="6"/>
    <n v="6.1347100000000001"/>
    <n v="6.1347100000000001"/>
    <n v="0"/>
    <n v="0.38697779999999998"/>
    <n v="0.38697779999999998"/>
    <n v="0"/>
    <n v="0.31571028000000001"/>
    <n v="0.32571028000000002"/>
    <n v="-0.01"/>
    <n v="1.2071834400000001E-3"/>
    <n v="5.4535922000000002E-4"/>
    <n v="1.1017396600000001E-4"/>
    <n v="3.3724085999999999E-8"/>
    <n v="0.41806650533333001"/>
    <n v="112.79012359133"/>
    <n v="0.24435504060798999"/>
    <n v="0.24435504060798999"/>
    <n v="0"/>
    <n v="1.5413927640164001E-2"/>
    <n v="1.5413927640164001E-2"/>
    <n v="0"/>
    <n v="1.2575231476265001E-2"/>
    <n v="1.2973547029255E-2"/>
    <n v="-3.9831555298945002E-4"/>
    <n v="4.8083993946331002E-5"/>
    <n v="2.172250592922E-5"/>
    <n v="4.3884004192331002E-6"/>
    <n v="1.3432827964154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3"/>
    <x v="6"/>
    <n v="114"/>
    <s v="opake Bauteile"/>
    <s v="nein"/>
    <n v="1266.6099999999999"/>
    <m/>
    <n v="2142685464"/>
    <x v="7"/>
    <x v="0"/>
    <n v="2E-3"/>
    <m/>
    <m/>
    <m/>
    <m/>
    <m/>
    <m/>
    <x v="1"/>
    <x v="1"/>
    <n v="1"/>
    <n v="2E-3"/>
    <n v="1300"/>
    <n v="2.6"/>
    <m/>
    <n v="2.6"/>
    <n v="3293.1860000000001"/>
    <n v="0.10356204377726"/>
    <s v="m²"/>
    <s v="kg"/>
    <n v="30358"/>
    <x v="0"/>
    <n v="12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0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112.79012359133"/>
    <n v="0.43149115183589998"/>
    <n v="0.43149115183589998"/>
    <n v="0"/>
    <n v="6.7203085840930002E-2"/>
    <n v="6.7203085840930002E-2"/>
    <n v="0"/>
    <n v="3.6514576477029E-2"/>
    <n v="3.6721700564583001E-2"/>
    <n v="-2.0712408755450999E-4"/>
    <n v="1.0217879662714E-4"/>
    <n v="4.2223715829009002E-5"/>
    <n v="1.3321323428586999E-5"/>
    <n v="3.090081362488600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n v="2142711048"/>
    <x v="32"/>
    <x v="0"/>
    <n v="3.2000000000000002E-3"/>
    <m/>
    <m/>
    <m/>
    <m/>
    <m/>
    <m/>
    <x v="1"/>
    <x v="1"/>
    <n v="1"/>
    <n v="3.2000000000000002E-3"/>
    <n v="1200"/>
    <n v="3.84"/>
    <m/>
    <n v="3.84"/>
    <n v="105569.28"/>
    <n v="3.3198763740929"/>
    <s v="m²"/>
    <s v="kg"/>
    <n v="30358"/>
    <x v="0"/>
    <n v="1"/>
    <x v="0"/>
    <s v="ja"/>
    <n v="0"/>
    <x v="0"/>
    <n v="25"/>
    <s v="Tertiärkonstruktion - Boden- und Wandbeläge, 25a"/>
    <n v="50"/>
    <m/>
    <n v="3"/>
    <m/>
    <n v="3"/>
    <m/>
    <n v="0"/>
    <n v="100"/>
    <n v="0"/>
    <m/>
    <n v="37.190994000000003"/>
    <n v="37.162593999999999"/>
    <n v="2.8400000000000002E-2"/>
    <n v="18.207514"/>
    <n v="7.2260600000000004"/>
    <n v="10.981453999999999"/>
    <n v="0.71844154000000005"/>
    <n v="1.9813453999999999"/>
    <n v="-1.26290386"/>
    <n v="9.9634045999999997E-3"/>
    <n v="4.6855995000000001E-3"/>
    <n v="1.2709163999999999E-3"/>
    <n v="2.4563071999999997E-7"/>
    <n v="0"/>
    <n v="0"/>
    <n v="6"/>
    <n v="142.81341696000001"/>
    <n v="142.70436096"/>
    <n v="0.109056"/>
    <n v="69.916853759999995"/>
    <n v="27.7480704"/>
    <n v="42.168783359999999"/>
    <n v="2.7588155136000001"/>
    <n v="7.6083663359999996"/>
    <n v="-4.8495508224000003"/>
    <n v="3.8259473664000003E-2"/>
    <n v="1.7992702079999999E-2"/>
    <n v="4.8803189760000002E-3"/>
    <n v="9.4322196480000004E-7"/>
    <n v="10.321512972800001"/>
    <n v="74.688596648360004"/>
    <n v="123.46950230963"/>
    <n v="123.37521782061"/>
    <n v="9.4284489024238E-2"/>
    <n v="60.446695559566002"/>
    <n v="23.989625871777999"/>
    <n v="36.457069687788"/>
    <n v="2.3851370948129"/>
    <n v="6.5778217823776002"/>
    <n v="-4.1926846875647001"/>
    <n v="3.3077271537068999E-2"/>
    <n v="1.5555611078511999E-2"/>
    <n v="4.2192853298072003E-3"/>
    <n v="8.1546362407943003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n v="2142707274"/>
    <x v="33"/>
    <x v="0"/>
    <n v="7.0000000000000007E-2"/>
    <m/>
    <m/>
    <m/>
    <m/>
    <m/>
    <m/>
    <x v="1"/>
    <x v="1"/>
    <n v="1"/>
    <n v="7.0000000000000007E-2"/>
    <n v="2000"/>
    <n v="140"/>
    <m/>
    <n v="140"/>
    <n v="3848880"/>
    <n v="121.03715947214"/>
    <s v="m²"/>
    <s v="kg"/>
    <n v="30358"/>
    <x v="0"/>
    <n v="2"/>
    <x v="0"/>
    <s v="ja"/>
    <n v="0"/>
    <x v="0"/>
    <n v="50"/>
    <s v="Sekundärkonstruktion"/>
    <n v="50"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n v="4.8205521000000002E-5"/>
    <n v="4.8452447E-9"/>
    <n v="1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n v="6.78334258E-7"/>
    <n v="15.661883533333"/>
    <n v="74.688596648360004"/>
    <n v="161.97454120826001"/>
    <n v="161.97454120826001"/>
    <n v="0"/>
    <n v="15.000484970773"/>
    <n v="15.000484970773"/>
    <n v="0"/>
    <n v="18.298622898114001"/>
    <n v="18.298622898114001"/>
    <n v="0"/>
    <n v="3.8186830442691E-2"/>
    <n v="2.4693132228699999E-2"/>
    <n v="5.8346593327144002E-3"/>
    <n v="5.8645465543542995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n v="2142719798"/>
    <x v="34"/>
    <x v="0"/>
    <n v="8.8000000000000005E-3"/>
    <m/>
    <m/>
    <m/>
    <m/>
    <m/>
    <m/>
    <x v="1"/>
    <x v="1"/>
    <n v="1"/>
    <n v="8.8000000000000005E-3"/>
    <n v="300"/>
    <n v="2.64"/>
    <m/>
    <n v="2.64"/>
    <n v="72578.880000000005"/>
    <n v="2.2824150071889"/>
    <s v="m²"/>
    <s v="kg"/>
    <n v="30358"/>
    <x v="0"/>
    <n v="3"/>
    <x v="0"/>
    <s v="ja"/>
    <n v="0"/>
    <x v="0"/>
    <n v="25"/>
    <s v="Gebäudeabdichtung/Folien, 25a"/>
    <n v="50"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227.00938392"/>
    <n v="114.88858392"/>
    <n v="112.1208"/>
    <n v="3.4380110159999999"/>
    <n v="3.4380110159999999"/>
    <n v="0"/>
    <n v="7.5057639360000001"/>
    <n v="7.5612039360000001"/>
    <n v="-5.5440000000000003E-2"/>
    <n v="2.1969550944000001E-2"/>
    <n v="4.2410562479999999E-3"/>
    <n v="6.543352992E-3"/>
    <n v="1.0326854736E-7"/>
    <n v="11.7472135792"/>
    <n v="74.688596648360004"/>
    <n v="196.26122145139999"/>
    <n v="99.327056096093003"/>
    <n v="96.934165355310995"/>
    <n v="2.9723363400754002"/>
    <n v="2.9723363400754002"/>
    <n v="0"/>
    <n v="6.4891167605845999"/>
    <n v="6.5370474757355996"/>
    <n v="-4.7930715150966002E-2"/>
    <n v="1.8993800293857999E-2"/>
    <n v="3.6666100101390999E-3"/>
    <n v="5.6570632826798998E-3"/>
    <n v="8.9280940251916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n v="2142718134"/>
    <x v="35"/>
    <x v="0"/>
    <n v="0.03"/>
    <m/>
    <m/>
    <m/>
    <m/>
    <m/>
    <m/>
    <x v="1"/>
    <x v="1"/>
    <n v="1"/>
    <n v="0.03"/>
    <n v="11"/>
    <n v="0.33"/>
    <m/>
    <n v="0.33"/>
    <n v="9072.36"/>
    <n v="0.28530187589861"/>
    <s v="m²"/>
    <s v="kg"/>
    <n v="30358"/>
    <x v="0"/>
    <n v="4"/>
    <x v="0"/>
    <s v="ja"/>
    <n v="0"/>
    <x v="0"/>
    <n v="50"/>
    <s v="Sekundärkonstruktion"/>
    <n v="50"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n v="4.3545479999999998E-8"/>
    <n v="1.9747659744999999"/>
    <n v="74.688596648360004"/>
    <n v="28.215077373968001"/>
    <n v="16.803002338024001"/>
    <n v="11.412075035944"/>
    <n v="0.27370652864362"/>
    <n v="0.27370652864362"/>
    <n v="0"/>
    <n v="1.1998030025777999"/>
    <n v="1.1998030025777999"/>
    <n v="0"/>
    <n v="4.2511231984128E-3"/>
    <n v="7.4508282437082995E-4"/>
    <n v="2.6070061753099001E-3"/>
    <n v="3.7647294336076998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n v="2142732302"/>
    <x v="36"/>
    <x v="0"/>
    <n v="1E-3"/>
    <m/>
    <m/>
    <m/>
    <m/>
    <m/>
    <m/>
    <x v="1"/>
    <x v="1"/>
    <n v="1"/>
    <n v="1E-3"/>
    <n v="300"/>
    <n v="0.3"/>
    <m/>
    <n v="0.3"/>
    <n v="8247.6"/>
    <n v="0.25936534172601"/>
    <s v="m²"/>
    <s v="kg"/>
    <n v="30358"/>
    <x v="0"/>
    <n v="5"/>
    <x v="0"/>
    <s v="ja"/>
    <n v="0"/>
    <x v="0"/>
    <n v="25"/>
    <s v="Gebäudeabdichtung/Folien, 25a"/>
    <n v="50"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25.796520900000001"/>
    <n v="13.055520899999999"/>
    <n v="12.741"/>
    <n v="0.39068307000000002"/>
    <n v="0.39068307000000002"/>
    <n v="0"/>
    <n v="0.85292771999999994"/>
    <n v="0.85922772000000003"/>
    <n v="-6.3E-3"/>
    <n v="2.4965398799999998E-3"/>
    <n v="4.8193820999999998E-4"/>
    <n v="7.4356284000000003E-4"/>
    <n v="1.1735062200000001E-8"/>
    <n v="1.3349106340000001"/>
    <n v="74.688596648360004"/>
    <n v="22.302411528568999"/>
    <n v="11.287165465465"/>
    <n v="11.015246063104"/>
    <n v="0.33776549319039001"/>
    <n v="0.33776549319039001"/>
    <n v="0"/>
    <n v="0.73739963188461999"/>
    <n v="0.74284630406086005"/>
    <n v="-5.4466721762462004E-3"/>
    <n v="2.1583863970293998E-3"/>
    <n v="4.1666022842489999E-4"/>
    <n v="6.4284810030453996E-4"/>
    <n v="1.0145561392263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m/>
    <x v="37"/>
    <x v="0"/>
    <n v="0.10199999999999999"/>
    <m/>
    <m/>
    <m/>
    <m/>
    <m/>
    <m/>
    <x v="1"/>
    <x v="1"/>
    <n v="1"/>
    <n v="0.10199999999999999"/>
    <n v="1800"/>
    <n v="183.6"/>
    <m/>
    <n v="183.6"/>
    <n v="5047531.2"/>
    <n v="158.73158913632"/>
    <s v="m²"/>
    <s v="kg"/>
    <n v="30358"/>
    <x v="0"/>
    <n v="6"/>
    <x v="0"/>
    <s v="ja"/>
    <n v="0"/>
    <x v="0"/>
    <n v="50"/>
    <s v="Sekundärkonstruktion"/>
    <n v="50"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n v="6.7317381999999998E-5"/>
    <n v="2.8679226999999999E-5"/>
    <n v="8.6913223999999992E-6"/>
    <n v="9.4606329999999995E-10"/>
    <n v="0"/>
    <n v="0"/>
    <n v="6"/>
    <n v="35.315289251999999"/>
    <n v="35.315289251999999"/>
    <n v="0"/>
    <n v="1.040166063"/>
    <n v="1.040166063"/>
    <n v="0"/>
    <n v="3.7220265935999999"/>
    <n v="3.7220265935999999"/>
    <n v="0"/>
    <n v="1.23594713352E-2"/>
    <n v="5.2655060772000004E-3"/>
    <n v="1.5957267926400001E-3"/>
    <n v="1.7369722188E-7"/>
    <n v="3.4454435853600001"/>
    <n v="74.688596648360004"/>
    <n v="30.531873549993001"/>
    <n v="30.531873549993001"/>
    <n v="0"/>
    <n v="0.89927675460597001"/>
    <n v="0.89927675460597001"/>
    <n v="0"/>
    <n v="3.2178823312078002"/>
    <n v="3.2178823312078002"/>
    <n v="0"/>
    <n v="1.0685395021356001E-2"/>
    <n v="4.5522992769111998E-3"/>
    <n v="1.3795874162481001E-3"/>
    <n v="1.5017013103254999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6"/>
    <x v="7"/>
    <n v="114"/>
    <s v="opake Bauteile"/>
    <s v="nein"/>
    <n v="27492"/>
    <m/>
    <m/>
    <x v="5"/>
    <x v="0"/>
    <n v="0.22"/>
    <m/>
    <m/>
    <m/>
    <m/>
    <m/>
    <m/>
    <x v="1"/>
    <x v="1"/>
    <n v="1"/>
    <n v="0.22"/>
    <n v="475"/>
    <n v="104.5"/>
    <m/>
    <n v="104.5"/>
    <n v="2872914"/>
    <n v="90.345594034558999"/>
    <s v="m²"/>
    <s v="kg"/>
    <n v="30358"/>
    <x v="0"/>
    <n v="7"/>
    <x v="0"/>
    <s v="ja"/>
    <n v="0"/>
    <x v="0"/>
    <n v="50"/>
    <s v="Sekundärkonstruktion"/>
    <n v="50"/>
    <m/>
    <n v="1"/>
    <m/>
    <n v="1"/>
    <m/>
    <n v="0"/>
    <n v="100"/>
    <n v="0"/>
    <m/>
    <n v="9.2021829000000004"/>
    <n v="8.8285628999999997"/>
    <n v="0.37362000000000001"/>
    <n v="17.684211000000001"/>
    <n v="0.63333099999999998"/>
    <n v="17.050879999999999"/>
    <n v="-0.32528815"/>
    <n v="0.51016185000000003"/>
    <n v="-0.83545000000000003"/>
    <n v="2.8813898000000001E-3"/>
    <n v="1.3804499E-3"/>
    <n v="1.0392354E-3"/>
    <n v="4.4076999999999998E-8"/>
    <n v="1"/>
    <n v="0"/>
    <n v="6"/>
    <n v="961.62811305000002"/>
    <n v="922.58482304999995"/>
    <n v="39.043289999999999"/>
    <n v="1848.0000494999999"/>
    <n v="66.183089499999994"/>
    <n v="1781.8169600000001"/>
    <n v="-33.992611674999999"/>
    <n v="53.311913324999999"/>
    <n v="-87.304524999999998"/>
    <n v="0.30110523410000001"/>
    <n v="0.14425701455000001"/>
    <n v="0.1086000993"/>
    <n v="4.6060465000000001E-6"/>
    <n v="66.536199702499999"/>
    <n v="74.688596648360004"/>
    <n v="831.37668051516005"/>
    <n v="797.62175967197004"/>
    <n v="33.754920843191996"/>
    <n v="1597.6905478275"/>
    <n v="57.218665415502002"/>
    <n v="1540.471882412"/>
    <n v="-29.388351144152999"/>
    <n v="46.090875392020003"/>
    <n v="-75.479226536173002"/>
    <n v="0.26032087312612001"/>
    <n v="0.12471756625045"/>
    <n v="9.3890339554743005E-2"/>
    <n v="3.9821627482613001E-6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m/>
    <x v="38"/>
    <x v="0"/>
    <n v="3.0000000000000001E-3"/>
    <m/>
    <m/>
    <m/>
    <m/>
    <m/>
    <m/>
    <x v="1"/>
    <x v="1"/>
    <n v="1"/>
    <n v="3.0000000000000001E-3"/>
    <n v="1300"/>
    <n v="3.9"/>
    <m/>
    <n v="3.9"/>
    <n v="28025.4"/>
    <n v="0.88132516707988995"/>
    <s v="m²"/>
    <s v="kg"/>
    <n v="30358"/>
    <x v="0"/>
    <n v="1"/>
    <x v="0"/>
    <s v="ja"/>
    <n v="1"/>
    <x v="1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n v="4.7952012999999999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n v="3.7402570140000001E-6"/>
    <n v="38.121884059999999"/>
    <n v="109.67754512926"/>
    <n v="131.99128291525"/>
    <n v="106.80149376081999"/>
    <n v="25.189789154429999"/>
    <n v="5.8654823268765997"/>
    <n v="5.8654823268765997"/>
    <n v="0"/>
    <n v="7.0231290210608996"/>
    <n v="7.0231290210608996"/>
    <n v="0"/>
    <n v="2.2834375376745999E-2"/>
    <n v="8.7491668163347993E-3"/>
    <n v="4.1236874952054999E-3"/>
    <n v="8.4522631738084003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n v="2142707274"/>
    <x v="33"/>
    <x v="0"/>
    <n v="7.0000000000000007E-2"/>
    <m/>
    <m/>
    <m/>
    <m/>
    <m/>
    <m/>
    <x v="1"/>
    <x v="1"/>
    <n v="1"/>
    <n v="7.0000000000000007E-2"/>
    <n v="2000"/>
    <n v="140"/>
    <m/>
    <n v="140"/>
    <n v="1006040"/>
    <n v="31.637313690047002"/>
    <s v="m²"/>
    <s v="kg"/>
    <n v="30358"/>
    <x v="0"/>
    <n v="2"/>
    <x v="0"/>
    <s v="ja"/>
    <n v="0"/>
    <x v="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n v="4.8205521000000002E-5"/>
    <n v="4.8452447E-9"/>
    <n v="1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n v="6.78334258E-7"/>
    <n v="15.661883533333"/>
    <n v="109.67754512926"/>
    <n v="42.337736545996997"/>
    <n v="42.337736545996997"/>
    <n v="0"/>
    <n v="3.9209037174441002"/>
    <n v="3.9209037174441002"/>
    <n v="0"/>
    <n v="4.7829879290647996"/>
    <n v="4.7829879290647996"/>
    <n v="0"/>
    <n v="9.9814696479404007E-3"/>
    <n v="6.4544175831311003E-3"/>
    <n v="1.5250931894692E-3"/>
    <n v="1.5329052647894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n v="2142719798"/>
    <x v="34"/>
    <x v="0"/>
    <n v="8.8000000000000005E-3"/>
    <m/>
    <m/>
    <m/>
    <m/>
    <m/>
    <m/>
    <x v="1"/>
    <x v="1"/>
    <n v="1"/>
    <n v="8.8000000000000005E-3"/>
    <n v="300"/>
    <n v="2.64"/>
    <m/>
    <n v="2.64"/>
    <n v="18971.04"/>
    <n v="0.59658934386946005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n v="2.0653709471999999E-7"/>
    <n v="23.503667158399999"/>
    <n v="109.67754512926"/>
    <n v="102.59952985231"/>
    <n v="51.925230984034002"/>
    <n v="50.674298868271997"/>
    <n v="1.5538490426147"/>
    <n v="1.5538490426147"/>
    <n v="0"/>
    <n v="3.4048456351738001"/>
    <n v="3.4173740113950002"/>
    <n v="-1.2528376221259E-2"/>
    <n v="9.9293939263543005E-3"/>
    <n v="1.9167946699301E-3"/>
    <n v="2.9573444456088001E-3"/>
    <n v="4.6673420387769002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n v="2142718134"/>
    <x v="35"/>
    <x v="0"/>
    <n v="0.03"/>
    <m/>
    <m/>
    <m/>
    <m/>
    <m/>
    <m/>
    <x v="1"/>
    <x v="1"/>
    <n v="1"/>
    <n v="0.03"/>
    <n v="11"/>
    <n v="0.33"/>
    <m/>
    <n v="0.33"/>
    <n v="2371.38"/>
    <n v="7.4573667983683006E-2"/>
    <s v="m²"/>
    <s v="kg"/>
    <n v="30358"/>
    <x v="0"/>
    <n v="4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n v="4.3545479999999998E-8"/>
    <n v="1.9747659744999999"/>
    <n v="109.67754512926"/>
    <n v="7.3750016735535997"/>
    <n v="4.3920549542062997"/>
    <n v="2.9829467193473"/>
    <n v="7.1542816631496003E-2"/>
    <n v="7.1542816631496003E-2"/>
    <n v="0"/>
    <n v="0.31361066406679"/>
    <n v="0.31361066406679"/>
    <n v="0"/>
    <n v="1.1111803907971E-3"/>
    <n v="1.9475357107263E-4"/>
    <n v="6.8143264861694004E-4"/>
    <n v="9.840442932454799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n v="2142732302"/>
    <x v="36"/>
    <x v="0"/>
    <n v="1E-3"/>
    <m/>
    <m/>
    <m/>
    <m/>
    <m/>
    <m/>
    <x v="1"/>
    <x v="1"/>
    <n v="1"/>
    <n v="1E-3"/>
    <n v="300"/>
    <n v="0.3"/>
    <m/>
    <n v="0.3"/>
    <n v="2155.8000000000002"/>
    <n v="6.7794243621529998E-2"/>
    <s v="m²"/>
    <s v="kg"/>
    <n v="30358"/>
    <x v="0"/>
    <n v="5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109.67754512926"/>
    <n v="11.659037483217"/>
    <n v="5.9005944300037996"/>
    <n v="5.7584430532126998"/>
    <n v="0.17657375484258001"/>
    <n v="0.17657375484258001"/>
    <n v="0"/>
    <n v="0.38691427672429002"/>
    <n v="0.38833795584033998"/>
    <n v="-1.4236791160521E-3"/>
    <n v="1.1283402189039E-3"/>
    <n v="2.1781757612842999E-4"/>
    <n v="3.3606186881917998E-4"/>
    <n v="5.3037977713374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m/>
    <x v="37"/>
    <x v="0"/>
    <n v="7.6999999999999999E-2"/>
    <m/>
    <m/>
    <m/>
    <m/>
    <m/>
    <m/>
    <x v="1"/>
    <x v="1"/>
    <n v="1"/>
    <n v="7.6999999999999999E-2"/>
    <n v="1800"/>
    <n v="138.6"/>
    <m/>
    <n v="138.6"/>
    <n v="995979.6"/>
    <n v="31.320940553147"/>
    <s v="m²"/>
    <s v="kg"/>
    <n v="30358"/>
    <x v="0"/>
    <n v="6"/>
    <x v="0"/>
    <s v="ja"/>
    <n v="0"/>
    <x v="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n v="6.7317381999999998E-5"/>
    <n v="2.8679226999999999E-5"/>
    <n v="8.6913223999999992E-6"/>
    <n v="9.4606329999999995E-10"/>
    <n v="0"/>
    <n v="0"/>
    <n v="6"/>
    <n v="26.659581102000001"/>
    <n v="26.659581102000001"/>
    <n v="0"/>
    <n v="0.78522340049999995"/>
    <n v="0.78522340049999995"/>
    <n v="0"/>
    <n v="2.8097651736000002"/>
    <n v="2.8097651736000002"/>
    <n v="0"/>
    <n v="9.3301891452000005E-3"/>
    <n v="3.9749408622000004E-3"/>
    <n v="1.20461728464E-3"/>
    <n v="1.3112437338E-7"/>
    <n v="2.6009721183600001"/>
    <n v="109.67754512926"/>
    <n v="6.0245537869231001"/>
    <n v="6.0245537869231001"/>
    <n v="0"/>
    <n v="0.17744542170274"/>
    <n v="0.17744542170274"/>
    <n v="0"/>
    <n v="0.63495301566108997"/>
    <n v="0.63495301566108997"/>
    <n v="0"/>
    <n v="2.1084437198154999E-3"/>
    <n v="8.9826036397719995E-4"/>
    <n v="2.7222039221863002E-4"/>
    <n v="2.9631592378814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m/>
    <x v="9"/>
    <x v="0"/>
    <n v="0.2"/>
    <m/>
    <m/>
    <m/>
    <m/>
    <m/>
    <m/>
    <x v="1"/>
    <x v="1"/>
    <n v="1"/>
    <n v="0.2"/>
    <n v="2325"/>
    <n v="465"/>
    <m/>
    <n v="465"/>
    <n v="3341490"/>
    <n v="105.08107761337"/>
    <s v="m²"/>
    <s v="kg"/>
    <n v="30358"/>
    <x v="0"/>
    <n v="7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n v="2.0985799679999999E-6"/>
    <n v="60.385712509999998"/>
    <n v="109.67754512926"/>
    <n v="164.55748243982001"/>
    <n v="164.55748243982001"/>
    <n v="0"/>
    <n v="4.9888251426104002"/>
    <n v="4.9888251426104002"/>
    <n v="0"/>
    <n v="16.068191365960999"/>
    <n v="16.068191365960999"/>
    <n v="0"/>
    <n v="4.1120482811658997E-2"/>
    <n v="2.5908898729863E-2"/>
    <n v="8.1112824631357997E-3"/>
    <n v="4.7423880536618002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5"/>
    <x v="8"/>
    <n v="114"/>
    <s v="opake Bauteile"/>
    <s v="nein"/>
    <n v="7186"/>
    <m/>
    <m/>
    <x v="39"/>
    <x v="0"/>
    <n v="4.0000000000000001E-3"/>
    <m/>
    <m/>
    <m/>
    <m/>
    <m/>
    <m/>
    <x v="1"/>
    <x v="1"/>
    <n v="1"/>
    <n v="4.0000000000000001E-3"/>
    <n v="1000"/>
    <n v="4"/>
    <m/>
    <n v="4"/>
    <n v="28744"/>
    <n v="0.90392324828706005"/>
    <s v="m²"/>
    <s v="kg"/>
    <n v="30358"/>
    <x v="0"/>
    <n v="8"/>
    <x v="0"/>
    <s v="ja"/>
    <n v="1"/>
    <x v="2"/>
    <n v="35"/>
    <s v="Putze/Untergrund"/>
    <m/>
    <m/>
    <n v="2"/>
    <m/>
    <n v="3"/>
    <m/>
    <n v="100"/>
    <n v="0"/>
    <n v="0"/>
    <m/>
    <n v="2.0824897999999998"/>
    <n v="2.0824897999999998"/>
    <n v="0"/>
    <n v="0.22890157999999999"/>
    <n v="0.22890157999999999"/>
    <n v="0"/>
    <n v="0.12708958000000001"/>
    <n v="0.12708958000000001"/>
    <n v="0"/>
    <n v="3.434423E-4"/>
    <n v="1.5250263999999999E-4"/>
    <n v="4.4826800000000003E-5"/>
    <n v="1.0404857E-8"/>
    <n v="0"/>
    <n v="0"/>
    <n v="6"/>
    <n v="16.659918399999999"/>
    <n v="16.659918399999999"/>
    <n v="0"/>
    <n v="1.8312126399999999"/>
    <n v="1.8312126399999999"/>
    <n v="0"/>
    <n v="1.0167166400000001"/>
    <n v="1.0167166400000001"/>
    <n v="0"/>
    <n v="2.7475384E-3"/>
    <n v="1.2200211199999999E-3"/>
    <n v="3.5861440000000002E-4"/>
    <n v="8.3238856000000002E-8"/>
    <n v="1.09112184"/>
    <n v="109.67754512926"/>
    <n v="3.7648218890813001"/>
    <n v="3.7648218890813001"/>
    <n v="0"/>
    <n v="0.41381891946327998"/>
    <n v="0.41381891946327998"/>
    <n v="0"/>
    <n v="0.22975845195408001"/>
    <n v="0.22975845195408001"/>
    <n v="0"/>
    <n v="6.2089095883035997E-4"/>
    <n v="2.7570136344230001E-4"/>
    <n v="8.1039973332628994E-5"/>
    <n v="1.8810384274805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m/>
    <x v="38"/>
    <x v="0"/>
    <n v="3.0000000000000001E-3"/>
    <m/>
    <m/>
    <m/>
    <m/>
    <m/>
    <m/>
    <x v="1"/>
    <x v="1"/>
    <n v="1"/>
    <n v="3.0000000000000001E-3"/>
    <n v="1300"/>
    <n v="3.9"/>
    <m/>
    <n v="3.9"/>
    <n v="0"/>
    <n v="0"/>
    <s v="m²"/>
    <s v="kg"/>
    <n v="30358"/>
    <x v="0"/>
    <n v="1"/>
    <x v="0"/>
    <s v="ja"/>
    <n v="1"/>
    <x v="1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n v="4.7952012999999999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n v="3.7402570140000001E-6"/>
    <n v="38.121884059999999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n v="2142717191"/>
    <x v="40"/>
    <x v="0"/>
    <n v="1E-4"/>
    <m/>
    <m/>
    <m/>
    <m/>
    <m/>
    <m/>
    <x v="1"/>
    <x v="1"/>
    <n v="1"/>
    <n v="1E-4"/>
    <n v="650"/>
    <n v="6.5000000000000002E-2"/>
    <m/>
    <n v="6.5000000000000002E-2"/>
    <n v="0"/>
    <n v="0"/>
    <s v="m²"/>
    <s v="kg"/>
    <n v="30358"/>
    <x v="0"/>
    <n v="2"/>
    <x v="0"/>
    <s v="ja"/>
    <n v="1"/>
    <x v="2"/>
    <n v="35"/>
    <s v="Gebäudeabdichtung/Folien, 35a"/>
    <m/>
    <m/>
    <n v="3"/>
    <m/>
    <n v="3"/>
    <m/>
    <n v="0"/>
    <n v="100"/>
    <n v="0"/>
    <m/>
    <n v="84.444359000000006"/>
    <n v="41.974359"/>
    <n v="42.47"/>
    <n v="3.1728236000000001"/>
    <n v="3.1728236000000001"/>
    <n v="0"/>
    <n v="2.6102582000000001"/>
    <n v="2.6102582000000001"/>
    <n v="0"/>
    <n v="1.0141371E-2"/>
    <n v="2.4516007000000002E-3"/>
    <n v="2.7319207999999999E-3"/>
    <n v="4.4255016E-8"/>
    <n v="0"/>
    <n v="0"/>
    <n v="6"/>
    <n v="10.977766669999999"/>
    <n v="5.4566666699999997"/>
    <n v="5.5210999999999997"/>
    <n v="0.41246706799999999"/>
    <n v="0.41246706799999999"/>
    <n v="0"/>
    <n v="0.33933356599999998"/>
    <n v="0.33933356599999998"/>
    <n v="0"/>
    <n v="1.31837823E-3"/>
    <n v="3.1870809099999997E-4"/>
    <n v="3.5514970399999998E-4"/>
    <n v="5.7531520800000003E-9"/>
    <n v="0.59826491400000004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n v="2142707274"/>
    <x v="33"/>
    <x v="0"/>
    <n v="7.0000000000000007E-2"/>
    <m/>
    <m/>
    <m/>
    <m/>
    <m/>
    <m/>
    <x v="1"/>
    <x v="1"/>
    <n v="1"/>
    <n v="7.0000000000000007E-2"/>
    <n v="2000"/>
    <n v="140"/>
    <m/>
    <n v="140"/>
    <n v="0"/>
    <n v="0"/>
    <s v="m²"/>
    <s v="kg"/>
    <n v="30358"/>
    <x v="0"/>
    <n v="3"/>
    <x v="0"/>
    <s v="ja"/>
    <n v="0"/>
    <x v="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n v="4.8205521000000002E-5"/>
    <n v="4.8452447E-9"/>
    <n v="0"/>
    <n v="0"/>
    <n v="6"/>
    <n v="187.351024"/>
    <n v="187.351024"/>
    <n v="0"/>
    <n v="17.3506046"/>
    <n v="17.3506046"/>
    <n v="0"/>
    <n v="21.165460400000001"/>
    <n v="21.165460400000001"/>
    <n v="0"/>
    <n v="4.4169544999999998E-2"/>
    <n v="2.8561794800000002E-2"/>
    <n v="6.7487729399999998E-3"/>
    <n v="6.78334258E-7"/>
    <n v="15.661883533333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n v="2142718134"/>
    <x v="35"/>
    <x v="0"/>
    <n v="0.03"/>
    <m/>
    <m/>
    <m/>
    <m/>
    <m/>
    <m/>
    <x v="1"/>
    <x v="1"/>
    <n v="1"/>
    <n v="0.03"/>
    <n v="11"/>
    <n v="0.33"/>
    <m/>
    <n v="0.33"/>
    <n v="0"/>
    <n v="0"/>
    <s v="m²"/>
    <s v="kg"/>
    <n v="30358"/>
    <x v="0"/>
    <n v="4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n v="4.3545479999999998E-8"/>
    <n v="1.9747659744999999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n v="2142732302"/>
    <x v="36"/>
    <x v="0"/>
    <n v="1E-3"/>
    <m/>
    <m/>
    <m/>
    <m/>
    <m/>
    <m/>
    <x v="1"/>
    <x v="1"/>
    <n v="1"/>
    <n v="1E-3"/>
    <n v="300"/>
    <n v="0.3"/>
    <m/>
    <n v="0.3"/>
    <n v="0"/>
    <n v="0"/>
    <s v="m²"/>
    <s v="kg"/>
    <n v="30358"/>
    <x v="0"/>
    <n v="5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m/>
    <x v="37"/>
    <x v="1"/>
    <n v="7.6999999999999999E-2"/>
    <m/>
    <m/>
    <m/>
    <m/>
    <m/>
    <m/>
    <x v="1"/>
    <x v="1"/>
    <n v="1"/>
    <n v="7.6999999999999999E-2"/>
    <n v="1800"/>
    <n v="138.6"/>
    <m/>
    <n v="138.6"/>
    <n v="0"/>
    <n v="0"/>
    <s v="m²"/>
    <s v="kg"/>
    <n v="30358"/>
    <x v="0"/>
    <n v="6"/>
    <x v="0"/>
    <s v="ja"/>
    <n v="0"/>
    <x v="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n v="6.7317381999999998E-5"/>
    <n v="2.8679226999999999E-5"/>
    <n v="8.6913223999999992E-6"/>
    <n v="9.4606329999999995E-10"/>
    <n v="0"/>
    <n v="0"/>
    <n v="6"/>
    <n v="26.659581102000001"/>
    <n v="26.659581102000001"/>
    <n v="0"/>
    <n v="0.78522340049999995"/>
    <n v="0.78522340049999995"/>
    <n v="0"/>
    <n v="2.8097651736000002"/>
    <n v="2.8097651736000002"/>
    <n v="0"/>
    <n v="9.3301891452000005E-3"/>
    <n v="3.9749408622000004E-3"/>
    <n v="1.20461728464E-3"/>
    <n v="1.3112437338E-7"/>
    <n v="2.6009721183600001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m/>
    <x v="9"/>
    <x v="0"/>
    <n v="0.35"/>
    <m/>
    <m/>
    <m/>
    <m/>
    <m/>
    <m/>
    <x v="1"/>
    <x v="1"/>
    <n v="1"/>
    <n v="0.35"/>
    <n v="2325"/>
    <n v="813.75"/>
    <m/>
    <n v="813.75"/>
    <n v="0"/>
    <n v="0"/>
    <s v="m²"/>
    <s v="kg"/>
    <n v="30358"/>
    <x v="0"/>
    <n v="7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n v="3.672514944E-6"/>
    <n v="105.6749968925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8"/>
    <x v="9"/>
    <n v="114"/>
    <s v="opake Bauteile"/>
    <s v="nein"/>
    <n v="0"/>
    <m/>
    <n v="2142710056"/>
    <x v="41"/>
    <x v="0"/>
    <n v="0.16"/>
    <m/>
    <m/>
    <m/>
    <m/>
    <m/>
    <m/>
    <x v="1"/>
    <x v="1"/>
    <n v="1"/>
    <n v="0.16"/>
    <n v="105"/>
    <n v="16.8"/>
    <m/>
    <n v="16.8"/>
    <n v="0"/>
    <n v="0"/>
    <s v="m²"/>
    <s v="kg"/>
    <n v="30358"/>
    <x v="0"/>
    <n v="8"/>
    <x v="0"/>
    <s v="ja"/>
    <n v="1"/>
    <x v="2"/>
    <n v="35"/>
    <s v="Sekundärkonstruktion - WDVS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1"/>
    <n v="0"/>
    <n v="6"/>
    <n v="717.12732000000005"/>
    <n v="717.12732000000005"/>
    <n v="0"/>
    <n v="26.365838688"/>
    <n v="26.365838688"/>
    <n v="0"/>
    <n v="58.495284959999999"/>
    <n v="58.495284959999999"/>
    <n v="0"/>
    <n v="0.39679332"/>
    <n v="0.10449920544000001"/>
    <n v="0.17012459184000001"/>
    <n v="2.3556960000000001E-6"/>
    <n v="86.559234160000003"/>
    <n v="217.52953958736001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m/>
    <x v="38"/>
    <x v="0"/>
    <n v="3.0000000000000001E-3"/>
    <m/>
    <m/>
    <m/>
    <m/>
    <m/>
    <m/>
    <x v="1"/>
    <x v="1"/>
    <n v="1"/>
    <n v="3.0000000000000001E-3"/>
    <n v="1300"/>
    <n v="3.9"/>
    <m/>
    <n v="3.9"/>
    <n v="0"/>
    <n v="0"/>
    <s v="m²"/>
    <s v="kg"/>
    <n v="30358"/>
    <x v="0"/>
    <n v="1"/>
    <x v="0"/>
    <s v="ja"/>
    <n v="1"/>
    <x v="1"/>
    <n v="25"/>
    <s v="Tertiärkonstruktion - Boden- und Wandbeläge, 25a"/>
    <m/>
    <m/>
    <n v="3"/>
    <m/>
    <n v="3"/>
    <m/>
    <n v="0"/>
    <n v="100"/>
    <n v="0"/>
    <m/>
    <n v="74.882283999999999"/>
    <n v="60.591424000000004"/>
    <n v="14.29086"/>
    <n v="3.3276493999999999"/>
    <n v="3.3276493999999999"/>
    <n v="0"/>
    <n v="3.9844141999999998"/>
    <n v="3.9844141999999998"/>
    <n v="0"/>
    <n v="1.2954569000000001E-2"/>
    <n v="4.9636428999999998E-3"/>
    <n v="2.3394813000000001E-3"/>
    <n v="4.7952012999999999E-7"/>
    <n v="0"/>
    <n v="0"/>
    <n v="6"/>
    <n v="584.08181520000005"/>
    <n v="472.6131072"/>
    <n v="111.46870800000001"/>
    <n v="25.955665320000001"/>
    <n v="25.955665320000001"/>
    <n v="0"/>
    <n v="31.07843076"/>
    <n v="31.07843076"/>
    <n v="0"/>
    <n v="0.1010456382"/>
    <n v="3.871641462E-2"/>
    <n v="1.8247954140000001E-2"/>
    <n v="3.7402570140000001E-6"/>
    <n v="38.121884059999999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n v="2142707274"/>
    <x v="33"/>
    <x v="0"/>
    <n v="0.09"/>
    <m/>
    <m/>
    <m/>
    <m/>
    <m/>
    <m/>
    <x v="1"/>
    <x v="1"/>
    <n v="1"/>
    <n v="0.09"/>
    <n v="2000"/>
    <n v="180"/>
    <m/>
    <n v="180"/>
    <n v="0"/>
    <n v="0"/>
    <s v="m²"/>
    <s v="kg"/>
    <n v="30358"/>
    <x v="0"/>
    <n v="2"/>
    <x v="0"/>
    <s v="ja"/>
    <n v="0"/>
    <x v="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n v="4.8205521000000002E-5"/>
    <n v="4.8452447E-9"/>
    <n v="0"/>
    <n v="0"/>
    <n v="6"/>
    <n v="240.87988799999999"/>
    <n v="240.87988799999999"/>
    <n v="0"/>
    <n v="22.307920200000002"/>
    <n v="22.307920200000002"/>
    <n v="0"/>
    <n v="27.2127348"/>
    <n v="27.2127348"/>
    <n v="0"/>
    <n v="5.6789415000000003E-2"/>
    <n v="3.6722307599999997E-2"/>
    <n v="8.6769937799999995E-3"/>
    <n v="8.7214404599999999E-7"/>
    <n v="20.136707399999999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n v="2142719798"/>
    <x v="34"/>
    <x v="0"/>
    <n v="8.8000000000000005E-3"/>
    <m/>
    <m/>
    <m/>
    <m/>
    <m/>
    <m/>
    <x v="1"/>
    <x v="1"/>
    <n v="1"/>
    <n v="8.8000000000000005E-3"/>
    <n v="300"/>
    <n v="2.64"/>
    <m/>
    <n v="2.64"/>
    <n v="0"/>
    <n v="0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n v="2.0653709471999999E-7"/>
    <n v="23.503667158399999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n v="2142718134"/>
    <x v="35"/>
    <x v="0"/>
    <n v="0.03"/>
    <m/>
    <m/>
    <m/>
    <m/>
    <m/>
    <m/>
    <x v="1"/>
    <x v="1"/>
    <n v="1"/>
    <n v="0.03"/>
    <n v="11"/>
    <n v="0.33"/>
    <m/>
    <n v="0.33"/>
    <n v="0"/>
    <n v="0"/>
    <s v="m²"/>
    <s v="kg"/>
    <n v="30358"/>
    <x v="0"/>
    <n v="4"/>
    <x v="0"/>
    <s v="ja"/>
    <n v="0"/>
    <x v="0"/>
    <n v="50"/>
    <s v="Sekundärkonstruktion"/>
    <m/>
    <m/>
    <n v="4"/>
    <m/>
    <n v="3"/>
    <m/>
    <n v="0"/>
    <n v="100"/>
    <n v="0"/>
    <m/>
    <n v="98.895520000000005"/>
    <n v="58.895519999999998"/>
    <n v="40"/>
    <n v="0.95935762000000002"/>
    <n v="0.95935762000000002"/>
    <n v="0"/>
    <n v="4.2053807000000001"/>
    <n v="4.2053807000000001"/>
    <n v="0"/>
    <n v="1.4900439E-2"/>
    <n v="2.6115595E-3"/>
    <n v="9.1377113000000003E-3"/>
    <n v="1.3195599999999999E-7"/>
    <n v="0"/>
    <n v="0"/>
    <n v="6"/>
    <n v="32.635521599999997"/>
    <n v="19.435521600000001"/>
    <n v="13.2"/>
    <n v="0.31658801460000002"/>
    <n v="0.31658801460000002"/>
    <n v="0"/>
    <n v="1.387775631"/>
    <n v="1.387775631"/>
    <n v="0"/>
    <n v="4.91714487E-3"/>
    <n v="8.6181463499999998E-4"/>
    <n v="3.0154447290000001E-3"/>
    <n v="4.3545479999999998E-8"/>
    <n v="1.9747659744999999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n v="2142732302"/>
    <x v="36"/>
    <x v="0"/>
    <n v="1E-3"/>
    <m/>
    <m/>
    <m/>
    <m/>
    <m/>
    <m/>
    <x v="1"/>
    <x v="1"/>
    <n v="1"/>
    <n v="1E-3"/>
    <n v="300"/>
    <n v="0.3"/>
    <m/>
    <n v="0.3"/>
    <n v="0"/>
    <n v="0"/>
    <s v="m²"/>
    <s v="kg"/>
    <n v="30358"/>
    <x v="0"/>
    <n v="5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1"/>
    <n v="0"/>
    <n v="6"/>
    <n v="51.593041800000002"/>
    <n v="26.111041799999999"/>
    <n v="25.481999999999999"/>
    <n v="0.78136614000000004"/>
    <n v="0.78136614000000004"/>
    <n v="0"/>
    <n v="1.7121554400000001"/>
    <n v="1.7184554400000001"/>
    <n v="-6.3E-3"/>
    <n v="4.9930797599999997E-3"/>
    <n v="9.6387641999999996E-4"/>
    <n v="1.4871256800000001E-3"/>
    <n v="2.3470124400000001E-8"/>
    <n v="2.670871268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m/>
    <x v="37"/>
    <x v="1"/>
    <n v="5.7000000000000002E-2"/>
    <m/>
    <m/>
    <m/>
    <m/>
    <m/>
    <m/>
    <x v="1"/>
    <x v="1"/>
    <n v="1"/>
    <n v="5.7000000000000002E-2"/>
    <n v="1800"/>
    <n v="102.6"/>
    <m/>
    <n v="102.6"/>
    <n v="0"/>
    <n v="0"/>
    <s v="m²"/>
    <s v="kg"/>
    <n v="30358"/>
    <x v="0"/>
    <n v="6"/>
    <x v="0"/>
    <s v="ja"/>
    <n v="0"/>
    <x v="0"/>
    <n v="50"/>
    <s v="Sekundärkonstruktion"/>
    <m/>
    <m/>
    <n v="2"/>
    <m/>
    <n v="3"/>
    <m/>
    <n v="100"/>
    <n v="0"/>
    <n v="0"/>
    <m/>
    <n v="0.19234907000000001"/>
    <n v="0.19234907000000001"/>
    <n v="0"/>
    <n v="5.6653924999999997E-3"/>
    <n v="5.6653924999999997E-3"/>
    <n v="0"/>
    <n v="2.0272476000000001E-2"/>
    <n v="2.0272476000000001E-2"/>
    <n v="0"/>
    <n v="6.7317381999999998E-5"/>
    <n v="2.8679226999999999E-5"/>
    <n v="8.6913223999999992E-6"/>
    <n v="9.4606329999999995E-10"/>
    <n v="0"/>
    <n v="0"/>
    <n v="6"/>
    <n v="19.735014582000002"/>
    <n v="19.735014582000002"/>
    <n v="0"/>
    <n v="0.58126927049999999"/>
    <n v="0.58126927049999999"/>
    <n v="0"/>
    <n v="2.0799560376000001"/>
    <n v="2.0799560376000001"/>
    <n v="0"/>
    <n v="6.9067633932000001E-3"/>
    <n v="2.9424886902000001E-3"/>
    <n v="8.9172967824000004E-4"/>
    <n v="9.7066094580000001E-8"/>
    <n v="1.9253949447600001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m/>
    <x v="9"/>
    <x v="0"/>
    <n v="0.35"/>
    <m/>
    <m/>
    <m/>
    <m/>
    <m/>
    <m/>
    <x v="1"/>
    <x v="1"/>
    <n v="1"/>
    <n v="0.35"/>
    <n v="2325"/>
    <n v="813.75"/>
    <m/>
    <n v="813.75"/>
    <n v="0"/>
    <n v="0"/>
    <s v="m²"/>
    <s v="kg"/>
    <n v="30358"/>
    <x v="0"/>
    <n v="7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n v="3.672514944E-6"/>
    <n v="105.6749968925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29"/>
    <x v="10"/>
    <n v="114"/>
    <s v="opake Bauteile"/>
    <s v="nein"/>
    <n v="0"/>
    <m/>
    <n v="2142710056"/>
    <x v="41"/>
    <x v="0"/>
    <n v="0.16"/>
    <m/>
    <m/>
    <m/>
    <m/>
    <m/>
    <m/>
    <x v="1"/>
    <x v="1"/>
    <n v="1"/>
    <n v="0.16"/>
    <n v="105"/>
    <n v="16.8"/>
    <m/>
    <n v="16.8"/>
    <n v="0"/>
    <n v="0"/>
    <s v="m²"/>
    <s v="kg"/>
    <n v="30358"/>
    <x v="0"/>
    <n v="8"/>
    <x v="0"/>
    <s v="ja"/>
    <n v="1"/>
    <x v="2"/>
    <n v="35"/>
    <s v="Sekundärkonstruktion - WDVS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1"/>
    <n v="0"/>
    <n v="6"/>
    <n v="717.12732000000005"/>
    <n v="717.12732000000005"/>
    <n v="0"/>
    <n v="26.365838688"/>
    <n v="26.365838688"/>
    <n v="0"/>
    <n v="58.495284959999999"/>
    <n v="58.495284959999999"/>
    <n v="0"/>
    <n v="0.39679332"/>
    <n v="0.10449920544000001"/>
    <n v="0.17012459184000001"/>
    <n v="2.3556960000000001E-6"/>
    <n v="86.559234160000003"/>
    <n v="244.23418852482999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686315"/>
    <x v="42"/>
    <x v="0"/>
    <n v="1.4E-2"/>
    <m/>
    <m/>
    <m/>
    <m/>
    <m/>
    <m/>
    <x v="1"/>
    <x v="1"/>
    <n v="1"/>
    <n v="1.4E-2"/>
    <n v="500"/>
    <n v="7"/>
    <m/>
    <n v="7"/>
    <n v="0"/>
    <n v="0"/>
    <s v="m²"/>
    <s v="kg"/>
    <n v="30358"/>
    <x v="0"/>
    <n v="1"/>
    <x v="0"/>
    <s v="ja"/>
    <n v="1"/>
    <x v="1"/>
    <n v="25"/>
    <s v="Tertiärkonstruktion - Boden- und Wandbeläge, 25a"/>
    <m/>
    <m/>
    <n v="2"/>
    <m/>
    <n v="2"/>
    <m/>
    <n v="0"/>
    <n v="100"/>
    <n v="0"/>
    <m/>
    <n v="16.942875999999998"/>
    <n v="16.247876000000002"/>
    <n v="0.69499999999999995"/>
    <n v="24.553808"/>
    <n v="7.2538080000000003"/>
    <n v="17.3"/>
    <n v="0.12088635"/>
    <n v="0.94918634999999996"/>
    <n v="-0.82830000000000004"/>
    <n v="5.246405E-3"/>
    <n v="2.1616691999999998E-3"/>
    <n v="8.3573288999999997E-4"/>
    <n v="9.9083000000000001E-8"/>
    <n v="0"/>
    <n v="0"/>
    <n v="6"/>
    <n v="237.200264"/>
    <n v="227.47026399999999"/>
    <n v="9.73"/>
    <n v="343.75331199999999"/>
    <n v="101.55331200000001"/>
    <n v="242.2"/>
    <n v="7.4905089"/>
    <n v="13.2886089"/>
    <n v="-5.7980999999999998"/>
    <n v="7.3449669999999995E-2"/>
    <n v="3.0263368799999999E-2"/>
    <n v="1.170026046E-2"/>
    <n v="1.387162E-6"/>
    <n v="18.948382949999999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07274"/>
    <x v="33"/>
    <x v="0"/>
    <n v="2.5000000000000001E-2"/>
    <m/>
    <m/>
    <m/>
    <m/>
    <m/>
    <m/>
    <x v="1"/>
    <x v="1"/>
    <n v="1"/>
    <n v="2.5000000000000001E-2"/>
    <n v="2000"/>
    <n v="50"/>
    <m/>
    <n v="50"/>
    <n v="0"/>
    <n v="0"/>
    <s v="m²"/>
    <s v="kg"/>
    <n v="30358"/>
    <x v="0"/>
    <n v="2"/>
    <x v="0"/>
    <s v="ja"/>
    <n v="0"/>
    <x v="0"/>
    <n v="50"/>
    <s v="Sekundärkonstruktion"/>
    <m/>
    <m/>
    <n v="3"/>
    <m/>
    <n v="4"/>
    <m/>
    <n v="100"/>
    <n v="0"/>
    <n v="0"/>
    <m/>
    <n v="1.3382216"/>
    <n v="1.3382216"/>
    <n v="0"/>
    <n v="0.12393289"/>
    <n v="0.12393289"/>
    <n v="0"/>
    <n v="0.15118186"/>
    <n v="0.15118186"/>
    <n v="0"/>
    <n v="3.1549675E-4"/>
    <n v="2.0401282E-4"/>
    <n v="4.8205521000000002E-5"/>
    <n v="4.8452447E-9"/>
    <n v="0"/>
    <n v="0"/>
    <n v="6"/>
    <n v="66.911079999999998"/>
    <n v="66.911079999999998"/>
    <n v="0"/>
    <n v="6.1966444999999997"/>
    <n v="6.1966444999999997"/>
    <n v="0"/>
    <n v="7.5590929999999998"/>
    <n v="7.5590929999999998"/>
    <n v="0"/>
    <n v="1.57748375E-2"/>
    <n v="1.0200641E-2"/>
    <n v="2.4102760500000001E-3"/>
    <n v="2.4226223500000001E-7"/>
    <n v="5.5935298333333003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19798"/>
    <x v="34"/>
    <x v="0"/>
    <n v="8.8000000000000005E-3"/>
    <m/>
    <m/>
    <m/>
    <m/>
    <m/>
    <m/>
    <x v="1"/>
    <x v="1"/>
    <n v="1"/>
    <n v="8.8000000000000005E-3"/>
    <n v="300"/>
    <n v="2.64"/>
    <m/>
    <n v="2.64"/>
    <n v="0"/>
    <n v="0"/>
    <s v="m²"/>
    <s v="kg"/>
    <n v="30358"/>
    <x v="0"/>
    <n v="3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454.01876784000001"/>
    <n v="229.77716784"/>
    <n v="224.24160000000001"/>
    <n v="6.8760220319999998"/>
    <n v="6.8760220319999998"/>
    <n v="0"/>
    <n v="15.066967871999999"/>
    <n v="15.122407872"/>
    <n v="-5.5440000000000003E-2"/>
    <n v="4.3939101888000001E-2"/>
    <n v="8.4821124959999997E-3"/>
    <n v="1.3086705984E-2"/>
    <n v="2.0653709471999999E-7"/>
    <n v="23.503667158399999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m/>
    <x v="43"/>
    <x v="2"/>
    <n v="0.03"/>
    <m/>
    <m/>
    <m/>
    <m/>
    <m/>
    <m/>
    <x v="1"/>
    <x v="1"/>
    <n v="1"/>
    <n v="0.03"/>
    <n v="500"/>
    <n v="15"/>
    <m/>
    <n v="15"/>
    <n v="0"/>
    <n v="0"/>
    <s v="m²"/>
    <s v="kg"/>
    <n v="30358"/>
    <x v="0"/>
    <n v="4"/>
    <x v="0"/>
    <s v="ja"/>
    <n v="1"/>
    <x v="2"/>
    <n v="35"/>
    <s v="Gebäudeabdichtung/Folien, 35a"/>
    <m/>
    <m/>
    <n v="3"/>
    <m/>
    <n v="3"/>
    <m/>
    <n v="0"/>
    <n v="100"/>
    <n v="0"/>
    <m/>
    <n v="14.248305"/>
    <n v="14.248305"/>
    <n v="0"/>
    <n v="38.211621999999998"/>
    <n v="24.444621999999999"/>
    <n v="13.766999999999999"/>
    <n v="-0.95084049000000004"/>
    <n v="0.84515951"/>
    <n v="-1.796"/>
    <n v="5.8931249999999999E-3"/>
    <n v="2.4360761000000002E-3"/>
    <n v="6.2504502999999995E-4"/>
    <n v="7.9133968000000002E-8"/>
    <n v="0"/>
    <n v="0"/>
    <n v="6"/>
    <n v="427.44914999999997"/>
    <n v="427.44914999999997"/>
    <n v="0"/>
    <n v="1146.3486600000001"/>
    <n v="733.33866"/>
    <n v="413.01"/>
    <n v="-1.5852147000000001"/>
    <n v="25.3547853"/>
    <n v="-26.94"/>
    <n v="0.17679375"/>
    <n v="7.3082282999999998E-2"/>
    <n v="1.8751350900000002E-2"/>
    <n v="2.3740190400000001E-6"/>
    <n v="37.556602550000001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32108"/>
    <x v="44"/>
    <x v="0"/>
    <n v="2.5000000000000001E-2"/>
    <m/>
    <m/>
    <m/>
    <m/>
    <m/>
    <m/>
    <x v="1"/>
    <x v="1"/>
    <n v="1"/>
    <n v="2.5000000000000001E-2"/>
    <n v="388"/>
    <n v="9.6999999999999993"/>
    <m/>
    <n v="9.6999999999999993"/>
    <n v="0"/>
    <n v="0"/>
    <s v="m²"/>
    <s v="kg"/>
    <n v="30358"/>
    <x v="0"/>
    <n v="5"/>
    <x v="0"/>
    <s v="ja"/>
    <n v="0"/>
    <x v="0"/>
    <n v="50"/>
    <s v="Sekundärkonstruktion"/>
    <m/>
    <m/>
    <n v="3"/>
    <m/>
    <n v="4"/>
    <m/>
    <n v="50"/>
    <n v="50"/>
    <n v="0"/>
    <m/>
    <n v="4.0335089000000002"/>
    <n v="4.0335089000000002"/>
    <n v="0"/>
    <n v="5.3701355"/>
    <n v="0.10465883333333"/>
    <n v="5.2654766666667001"/>
    <n v="-0.14579291999999999"/>
    <n v="0.40520708"/>
    <n v="-0.55100000000000005"/>
    <n v="8.2581794999999996E-4"/>
    <n v="4.8505788000000001E-4"/>
    <n v="1.3693500999999999E-4"/>
    <n v="1.2628597999999999E-8"/>
    <n v="1"/>
    <n v="0"/>
    <n v="6"/>
    <n v="39.12503633"/>
    <n v="39.12503633"/>
    <n v="0"/>
    <n v="52.09031435"/>
    <n v="1.0151906833333"/>
    <n v="51.075123666666997"/>
    <n v="-1.4141913239999999"/>
    <n v="3.9305086760000001"/>
    <n v="-5.3446999999999996"/>
    <n v="8.0104341149999994E-3"/>
    <n v="4.705061436E-3"/>
    <n v="1.328269597E-3"/>
    <n v="1.2249740060000001E-7"/>
    <n v="2.1365272056667002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23421"/>
    <x v="45"/>
    <x v="0"/>
    <n v="0.03"/>
    <m/>
    <m/>
    <m/>
    <m/>
    <m/>
    <m/>
    <x v="1"/>
    <x v="1"/>
    <n v="1"/>
    <n v="0.03"/>
    <n v="150"/>
    <n v="4.5"/>
    <m/>
    <n v="4.5"/>
    <n v="0"/>
    <n v="0"/>
    <s v="m²"/>
    <s v="kg"/>
    <n v="30358"/>
    <x v="0"/>
    <n v="6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1"/>
    <n v="0"/>
    <n v="6"/>
    <n v="96.043837499999995"/>
    <n v="96.043837499999995"/>
    <n v="0"/>
    <n v="3.5311391099999998"/>
    <n v="3.5311391099999998"/>
    <n v="0"/>
    <n v="7.8341899499999998"/>
    <n v="7.8341899499999998"/>
    <n v="0"/>
    <n v="5.3141962500000001E-2"/>
    <n v="1.3995429300000001E-2"/>
    <n v="2.2784543550000001E-2"/>
    <n v="3.1549500000000001E-7"/>
    <n v="11.592754575000001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686781"/>
    <x v="15"/>
    <x v="0"/>
    <n v="2.9999999999999997E-4"/>
    <m/>
    <m/>
    <m/>
    <m/>
    <m/>
    <m/>
    <x v="1"/>
    <x v="1"/>
    <n v="1"/>
    <n v="2.9999999999999997E-4"/>
    <n v="300"/>
    <n v="0.09"/>
    <m/>
    <n v="0.09"/>
    <n v="0"/>
    <n v="0"/>
    <s v="m²"/>
    <s v="kg"/>
    <n v="30358"/>
    <x v="0"/>
    <n v="7"/>
    <x v="0"/>
    <s v="ja"/>
    <n v="1"/>
    <x v="1"/>
    <n v="25"/>
    <s v="Gebäudeabdichtung/Folien, 25a"/>
    <m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15.47791254"/>
    <n v="7.8333125399999997"/>
    <n v="7.6445999999999996"/>
    <n v="0.23440984200000001"/>
    <n v="0.23440984200000001"/>
    <n v="0"/>
    <n v="0.51364663200000005"/>
    <n v="0.51553663199999999"/>
    <n v="-1.89E-3"/>
    <n v="1.4979239279999999E-3"/>
    <n v="2.8916292600000002E-4"/>
    <n v="4.4613770399999999E-4"/>
    <n v="7.04103732E-9"/>
    <n v="0.80126138039999995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30429"/>
    <x v="46"/>
    <x v="0"/>
    <n v="0.03"/>
    <m/>
    <m/>
    <m/>
    <m/>
    <m/>
    <m/>
    <x v="1"/>
    <x v="1"/>
    <n v="1"/>
    <n v="0.03"/>
    <n v="550"/>
    <n v="16.5"/>
    <m/>
    <n v="16.5"/>
    <n v="0"/>
    <n v="0"/>
    <s v="m²"/>
    <s v="kg"/>
    <n v="30358"/>
    <x v="0"/>
    <n v="8"/>
    <x v="0"/>
    <s v="ja"/>
    <n v="0"/>
    <x v="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n v="6.9693000000000001E-8"/>
    <n v="1"/>
    <n v="0"/>
    <n v="6"/>
    <n v="206.971677"/>
    <n v="181.25004150000001"/>
    <n v="25.721635500000001"/>
    <n v="400.880832"/>
    <n v="157.67990699999999"/>
    <n v="243.20092500000001"/>
    <n v="-2.9233497150000001"/>
    <n v="10.534875285"/>
    <n v="-13.458225000000001"/>
    <n v="5.6992348050000002E-2"/>
    <n v="2.560839765E-2"/>
    <n v="1.1594377905E-2"/>
    <n v="1.1499345E-6"/>
    <n v="14.010810687499999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30429"/>
    <x v="46"/>
    <x v="0"/>
    <n v="5.7000000000000002E-2"/>
    <m/>
    <m/>
    <m/>
    <m/>
    <m/>
    <m/>
    <x v="1"/>
    <x v="1"/>
    <n v="0.8"/>
    <n v="4.5600000000000002E-2"/>
    <n v="550"/>
    <n v="25.08"/>
    <m/>
    <n v="25.08"/>
    <n v="0"/>
    <n v="0"/>
    <s v="m²"/>
    <s v="kg"/>
    <n v="30358"/>
    <x v="0"/>
    <n v="9"/>
    <x v="0"/>
    <s v="ja"/>
    <n v="0"/>
    <x v="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n v="6.9693000000000001E-8"/>
    <n v="0"/>
    <n v="0"/>
    <n v="6"/>
    <n v="314.59694904000003"/>
    <n v="275.50006308000002"/>
    <n v="39.096885960000002"/>
    <n v="609.33886464"/>
    <n v="239.67345864000001"/>
    <n v="369.66540600000002"/>
    <n v="-4.4434915667999997"/>
    <n v="16.013010433200002"/>
    <n v="-20.456502"/>
    <n v="8.6628369036000005E-2"/>
    <n v="3.8924764427999997E-2"/>
    <n v="1.7623454415599999E-2"/>
    <n v="1.7479004399999999E-6"/>
    <n v="21.296432244999998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m/>
    <x v="47"/>
    <x v="0"/>
    <n v="5.7000000000000002E-2"/>
    <m/>
    <m/>
    <m/>
    <m/>
    <m/>
    <m/>
    <x v="1"/>
    <x v="1"/>
    <n v="0.2"/>
    <n v="1.14E-2"/>
    <n v="1500"/>
    <n v="17.100000000000001"/>
    <m/>
    <n v="17.100000000000001"/>
    <n v="0"/>
    <n v="0"/>
    <s v="m²"/>
    <s v="kg"/>
    <n v="30358"/>
    <x v="0"/>
    <n v="9"/>
    <x v="1"/>
    <s v="ja"/>
    <n v="0"/>
    <x v="3"/>
    <n v="100"/>
    <s v="Primärkonstruktion - Tragkonstruktion"/>
    <m/>
    <m/>
    <n v="2"/>
    <m/>
    <n v="3"/>
    <m/>
    <n v="100"/>
    <n v="0"/>
    <n v="0"/>
    <m/>
    <n v="2.7139807999999999"/>
    <n v="2.7139807999999999"/>
    <n v="0"/>
    <n v="0.54105435000000002"/>
    <n v="0.54105435000000002"/>
    <n v="0"/>
    <n v="0.34419855999999999"/>
    <n v="0.34419855999999999"/>
    <n v="0"/>
    <n v="7.9290581999999997E-4"/>
    <n v="3.4724952999999999E-4"/>
    <n v="1.2757719E-4"/>
    <n v="1.3156763999999999E-8"/>
    <n v="0"/>
    <n v="0"/>
    <n v="6"/>
    <n v="46.409071679999997"/>
    <n v="46.409071679999997"/>
    <n v="0"/>
    <n v="9.2520293850000002"/>
    <n v="9.2520293850000002"/>
    <n v="0"/>
    <n v="5.8857953759999999"/>
    <n v="5.8857953759999999"/>
    <n v="0"/>
    <n v="1.3558689521999999E-2"/>
    <n v="5.9379669630000003E-3"/>
    <n v="2.1815699490000001E-3"/>
    <n v="2.249806644E-7"/>
    <n v="4.3357602216000002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30429"/>
    <x v="46"/>
    <x v="0"/>
    <n v="0.03"/>
    <m/>
    <m/>
    <m/>
    <m/>
    <m/>
    <m/>
    <x v="1"/>
    <x v="1"/>
    <n v="1"/>
    <n v="0.03"/>
    <n v="550"/>
    <n v="16.5"/>
    <m/>
    <n v="16.5"/>
    <n v="0"/>
    <n v="0"/>
    <s v="m²"/>
    <s v="kg"/>
    <n v="30358"/>
    <x v="0"/>
    <n v="10"/>
    <x v="0"/>
    <s v="ja"/>
    <n v="0"/>
    <x v="0"/>
    <n v="50"/>
    <s v="Sekundärkonstruktion"/>
    <m/>
    <m/>
    <n v="1"/>
    <m/>
    <n v="1"/>
    <m/>
    <n v="0"/>
    <n v="100"/>
    <n v="0"/>
    <m/>
    <n v="12.543737999999999"/>
    <n v="10.984851000000001"/>
    <n v="1.5588869999999999"/>
    <n v="24.295808000000001"/>
    <n v="9.5563579999999995"/>
    <n v="14.73945"/>
    <n v="-0.17717271000000001"/>
    <n v="0.63847728999999998"/>
    <n v="-0.81564999999999999"/>
    <n v="3.4540817000000001E-3"/>
    <n v="1.5520241E-3"/>
    <n v="7.0268957000000005E-4"/>
    <n v="6.9693000000000001E-8"/>
    <n v="1"/>
    <n v="0"/>
    <n v="6"/>
    <n v="206.971677"/>
    <n v="181.25004150000001"/>
    <n v="25.721635500000001"/>
    <n v="400.880832"/>
    <n v="157.67990699999999"/>
    <n v="243.20092500000001"/>
    <n v="-2.9233497150000001"/>
    <n v="10.534875285"/>
    <n v="-13.458225000000001"/>
    <n v="5.6992348050000002E-2"/>
    <n v="2.560839765E-2"/>
    <n v="1.1594377905E-2"/>
    <n v="1.1499345E-6"/>
    <n v="14.010810687499999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10458"/>
    <x v="11"/>
    <x v="0"/>
    <n v="1.7999999999999999E-2"/>
    <m/>
    <m/>
    <m/>
    <m/>
    <m/>
    <m/>
    <x v="1"/>
    <x v="1"/>
    <n v="1"/>
    <n v="1.7999999999999999E-2"/>
    <n v="1050"/>
    <n v="18.899999999999999"/>
    <m/>
    <n v="18.899999999999999"/>
    <n v="0"/>
    <n v="0"/>
    <s v="m²"/>
    <s v="kg"/>
    <n v="30358"/>
    <x v="0"/>
    <n v="11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10458"/>
    <x v="11"/>
    <x v="0"/>
    <n v="1.7999999999999999E-2"/>
    <m/>
    <m/>
    <m/>
    <m/>
    <m/>
    <m/>
    <x v="1"/>
    <x v="1"/>
    <n v="1"/>
    <n v="1.7999999999999999E-2"/>
    <n v="1050"/>
    <n v="18.899999999999999"/>
    <m/>
    <n v="18.899999999999999"/>
    <n v="0"/>
    <n v="0"/>
    <s v="m²"/>
    <s v="kg"/>
    <n v="30358"/>
    <x v="0"/>
    <n v="12"/>
    <x v="0"/>
    <s v="ja"/>
    <n v="0"/>
    <x v="0"/>
    <n v="50"/>
    <s v="Sekundärkonstruktion"/>
    <m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02.0810924"/>
    <n v="102.0810924"/>
    <n v="0"/>
    <n v="61.080517260000001"/>
    <n v="61.080517260000001"/>
    <n v="0"/>
    <n v="1.596731535"/>
    <n v="7.1155315349999997"/>
    <n v="-5.5187999999999997"/>
    <n v="2.9587348980000001E-2"/>
    <n v="9.1710976139999997E-3"/>
    <n v="2.5008300450000001E-3"/>
    <n v="7.2858810149999998E-7"/>
    <n v="7.6138048664999998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4"/>
    <x v="11"/>
    <n v="114"/>
    <s v="opake Bauteile"/>
    <s v="nein"/>
    <n v="0"/>
    <m/>
    <n v="2142710240"/>
    <x v="48"/>
    <x v="0"/>
    <n v="0.16"/>
    <m/>
    <m/>
    <m/>
    <m/>
    <m/>
    <m/>
    <x v="1"/>
    <x v="1"/>
    <n v="1"/>
    <n v="0.16"/>
    <n v="70"/>
    <n v="11.2"/>
    <m/>
    <n v="11.2"/>
    <n v="0"/>
    <n v="0"/>
    <s v="m²"/>
    <s v="kg"/>
    <n v="30358"/>
    <x v="0"/>
    <n v="13"/>
    <x v="0"/>
    <s v="ja"/>
    <n v="0"/>
    <x v="0"/>
    <n v="50"/>
    <s v="Sekundärkonstruktion"/>
    <m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1"/>
    <n v="0"/>
    <n v="6"/>
    <n v="239.04244"/>
    <n v="239.04244"/>
    <n v="0"/>
    <n v="8.7886128960000001"/>
    <n v="8.7886128960000001"/>
    <n v="0"/>
    <n v="19.498428319999999"/>
    <n v="19.498428319999999"/>
    <n v="0"/>
    <n v="0.13226444000000001"/>
    <n v="3.483306848E-2"/>
    <n v="5.6708197279999997E-2"/>
    <n v="7.8523200000000005E-7"/>
    <n v="28.853078053333"/>
    <n v="161.5338939474"/>
    <n v="0"/>
    <n v="0"/>
    <n v="0"/>
    <n v="0"/>
    <n v="0"/>
    <n v="0"/>
    <n v="0"/>
    <n v="0"/>
    <n v="0"/>
    <n v="0"/>
    <n v="0"/>
    <n v="0"/>
    <n v="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m/>
    <x v="49"/>
    <x v="0"/>
    <n v="1.4999999999999999E-2"/>
    <m/>
    <m/>
    <m/>
    <m/>
    <m/>
    <m/>
    <x v="2"/>
    <x v="2"/>
    <n v="1"/>
    <n v="1.4999999999999999E-2"/>
    <n v="2300"/>
    <n v="34.5"/>
    <m/>
    <n v="34.5"/>
    <n v="20432.625"/>
    <n v="0.64255235043945003"/>
    <s v="m²"/>
    <s v="kg"/>
    <n v="30358"/>
    <x v="0"/>
    <n v="1"/>
    <x v="0"/>
    <s v="ja"/>
    <n v="0"/>
    <x v="3"/>
    <n v="50"/>
    <s v="Tertiärkonstruktion - Boden- und Wandbeläge, 50a"/>
    <n v="100"/>
    <m/>
    <n v="2"/>
    <m/>
    <n v="3"/>
    <m/>
    <n v="100"/>
    <n v="0"/>
    <n v="0"/>
    <m/>
    <n v="14.175217999999999"/>
    <n v="14.175217999999999"/>
    <n v="0"/>
    <n v="0.71473628"/>
    <n v="0.71473628"/>
    <n v="0"/>
    <n v="0.84119993000000004"/>
    <n v="0.84119993000000004"/>
    <n v="0"/>
    <n v="2.9113336000000001E-3"/>
    <n v="1.2597520000000001E-3"/>
    <n v="2.6370855E-4"/>
    <n v="9.4436285000000001E-8"/>
    <n v="0"/>
    <n v="0"/>
    <n v="6"/>
    <n v="489.04502100000002"/>
    <n v="489.04502100000002"/>
    <n v="0"/>
    <n v="24.658401659999999"/>
    <n v="24.658401659999999"/>
    <n v="0"/>
    <n v="29.021397584999999"/>
    <n v="29.021397584999999"/>
    <n v="0"/>
    <n v="0.1004410092"/>
    <n v="4.3461444000000002E-2"/>
    <n v="9.0979449749999993E-3"/>
    <n v="3.2580518325000001E-6"/>
    <n v="34.530534857500001"/>
    <n v="175.52936395702"/>
    <n v="9.1083196438915"/>
    <n v="9.1083196438915"/>
    <n v="0"/>
    <n v="0.45925547665834998"/>
    <n v="0.45925547665834998"/>
    <n v="0"/>
    <n v="0.54051499221099997"/>
    <n v="0.54051499221099997"/>
    <n v="0"/>
    <n v="1.8706842475933001E-3"/>
    <n v="8.0945660857078996E-4"/>
    <n v="1.6944654863348E-4"/>
    <n v="6.0680256893519002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12579"/>
    <x v="50"/>
    <x v="0"/>
    <n v="2.5000000000000001E-2"/>
    <m/>
    <m/>
    <m/>
    <m/>
    <m/>
    <m/>
    <x v="2"/>
    <x v="2"/>
    <n v="1"/>
    <n v="2.5000000000000001E-2"/>
    <n v="1100"/>
    <n v="27.5"/>
    <m/>
    <n v="27.5"/>
    <n v="16286.875"/>
    <n v="0.51217940977056997"/>
    <s v="m²"/>
    <s v="kg"/>
    <n v="30358"/>
    <x v="0"/>
    <n v="2"/>
    <x v="0"/>
    <s v="ja"/>
    <n v="0"/>
    <x v="3"/>
    <n v="50"/>
    <s v="Sekundärkonstruktion"/>
    <n v="100"/>
    <m/>
    <n v="4"/>
    <m/>
    <n v="3"/>
    <m/>
    <n v="100"/>
    <n v="0"/>
    <n v="0"/>
    <m/>
    <n v="5.401116"/>
    <n v="5.401116"/>
    <n v="0"/>
    <n v="3.2317733999999998"/>
    <n v="3.2317733999999998"/>
    <n v="0"/>
    <n v="8.4483150000000007E-2"/>
    <n v="0.37648314999999999"/>
    <n v="-0.29199999999999998"/>
    <n v="1.5654682E-3"/>
    <n v="4.8524325999999999E-4"/>
    <n v="1.3231905000000001E-4"/>
    <n v="3.8549634999999997E-8"/>
    <n v="0"/>
    <n v="0"/>
    <n v="6"/>
    <n v="148.53068999999999"/>
    <n v="148.53068999999999"/>
    <n v="0"/>
    <n v="88.873768499999997"/>
    <n v="88.873768499999997"/>
    <n v="0"/>
    <n v="2.3232866250000002"/>
    <n v="10.353286625000001"/>
    <n v="-8.0299999999999994"/>
    <n v="4.3050375500000002E-2"/>
    <n v="1.3344189649999999E-2"/>
    <n v="3.6387738750000001E-3"/>
    <n v="1.0601149625E-6"/>
    <n v="11.078287504166999"/>
    <n v="175.52936395702"/>
    <n v="2.7663404049824001"/>
    <n v="2.7663404049824001"/>
    <n v="0"/>
    <n v="1.6552477925242"/>
    <n v="1.6552477925242"/>
    <n v="0"/>
    <n v="4.3270529902559002E-2"/>
    <n v="0.19282691755556999"/>
    <n v="-0.14955638765300999"/>
    <n v="8.0180057869059997E-4"/>
    <n v="2.4853160650194998E-4"/>
    <n v="6.7771092930402996E-5"/>
    <n v="1.9744329301170999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19798"/>
    <x v="34"/>
    <x v="0"/>
    <n v="8.8000000000000005E-3"/>
    <m/>
    <m/>
    <m/>
    <m/>
    <m/>
    <m/>
    <x v="2"/>
    <x v="2"/>
    <n v="1"/>
    <n v="8.8000000000000005E-3"/>
    <n v="300"/>
    <n v="2.64"/>
    <m/>
    <n v="2.64"/>
    <n v="1563.54"/>
    <n v="4.9169223337975E-2"/>
    <s v="m²"/>
    <s v="kg"/>
    <n v="30358"/>
    <x v="0"/>
    <n v="3"/>
    <x v="0"/>
    <s v="ja"/>
    <n v="0"/>
    <x v="3"/>
    <n v="25"/>
    <s v="Gebäudeabdichtung/Folien, 25a"/>
    <n v="100"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27.00938392"/>
    <n v="114.88858392"/>
    <n v="112.1208"/>
    <n v="3.4380110159999999"/>
    <n v="3.4380110159999999"/>
    <n v="0"/>
    <n v="7.5057639360000001"/>
    <n v="7.5612039360000001"/>
    <n v="-5.5440000000000003E-2"/>
    <n v="2.1969550944000001E-2"/>
    <n v="4.2410562479999999E-3"/>
    <n v="6.543352992E-3"/>
    <n v="1.0326854736E-7"/>
    <n v="11.7472135792"/>
    <n v="175.52936395702"/>
    <n v="4.2279829915827998"/>
    <n v="2.1397660764189999"/>
    <n v="2.0882169151637999"/>
    <n v="6.4031943743986006E-2"/>
    <n v="6.4031943743986006E-2"/>
    <n v="0"/>
    <n v="0.13979264518609999"/>
    <n v="0.14082519887619999"/>
    <n v="-1.0325536900975001E-3"/>
    <n v="4.0917642310626999E-4"/>
    <n v="7.8988424941979997E-5"/>
    <n v="1.2186802448593E-4"/>
    <n v="1.923346313989400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23421"/>
    <x v="45"/>
    <x v="0"/>
    <n v="0.03"/>
    <m/>
    <m/>
    <m/>
    <m/>
    <m/>
    <m/>
    <x v="2"/>
    <x v="2"/>
    <n v="1"/>
    <n v="0.03"/>
    <n v="150"/>
    <n v="4.5"/>
    <m/>
    <n v="4.5"/>
    <n v="2665.125"/>
    <n v="8.3811176144275995E-2"/>
    <s v="m²"/>
    <s v="kg"/>
    <n v="30358"/>
    <x v="0"/>
    <n v="4"/>
    <x v="0"/>
    <s v="ja"/>
    <n v="0"/>
    <x v="3"/>
    <n v="50"/>
    <s v="Sekundärkonstruktion"/>
    <n v="100"/>
    <m/>
    <n v="4"/>
    <m/>
    <n v="3"/>
    <m/>
    <n v="100"/>
    <n v="0"/>
    <n v="0"/>
    <m/>
    <n v="21.343074999999999"/>
    <n v="21.343074999999999"/>
    <n v="0"/>
    <n v="0.78469758000000001"/>
    <n v="0.78469758000000001"/>
    <n v="0"/>
    <n v="1.7409311000000001"/>
    <n v="1.7409311000000001"/>
    <n v="0"/>
    <n v="1.1809325000000001E-2"/>
    <n v="3.1100953999999999E-3"/>
    <n v="5.0632319000000004E-3"/>
    <n v="7.0109999999999997E-8"/>
    <n v="0"/>
    <n v="0"/>
    <n v="6"/>
    <n v="96.043837499999995"/>
    <n v="96.043837499999995"/>
    <n v="0"/>
    <n v="3.5311391099999998"/>
    <n v="3.5311391099999998"/>
    <n v="0"/>
    <n v="7.8341899499999998"/>
    <n v="7.8341899499999998"/>
    <n v="0"/>
    <n v="5.3141962500000001E-2"/>
    <n v="1.3995429300000001E-2"/>
    <n v="2.2784543550000001E-2"/>
    <n v="3.1549500000000001E-7"/>
    <n v="11.592754575000001"/>
    <n v="175.52936395702"/>
    <n v="1.7887882182854999"/>
    <n v="1.7887882182854999"/>
    <n v="0"/>
    <n v="6.5766427097367006E-2"/>
    <n v="6.5766427097367006E-2"/>
    <n v="0"/>
    <n v="0.14590948307714999"/>
    <n v="0.14590948307714999"/>
    <n v="0"/>
    <n v="9.8975341771999998E-4"/>
    <n v="2.6066075339489997E-4"/>
    <n v="4.2435542063020998E-4"/>
    <n v="5.8760015594751997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32300"/>
    <x v="30"/>
    <x v="0"/>
    <n v="1E-3"/>
    <m/>
    <m/>
    <m/>
    <m/>
    <m/>
    <m/>
    <x v="2"/>
    <x v="2"/>
    <n v="1"/>
    <n v="1E-3"/>
    <n v="300"/>
    <n v="0.3"/>
    <m/>
    <n v="0.3"/>
    <n v="177.67500000000001"/>
    <n v="5.5874117429516998E-3"/>
    <s v="m²"/>
    <s v="kg"/>
    <n v="30358"/>
    <x v="0"/>
    <n v="5"/>
    <x v="0"/>
    <s v="ja"/>
    <n v="0"/>
    <x v="3"/>
    <n v="25"/>
    <s v="Gebäudeabdichtung/Folien, 25a"/>
    <n v="100"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5.796520900000001"/>
    <n v="13.055520899999999"/>
    <n v="12.741"/>
    <n v="0.39068307000000002"/>
    <n v="0.39068307000000002"/>
    <n v="0"/>
    <n v="0.85292771999999994"/>
    <n v="0.85922772000000003"/>
    <n v="-6.3E-3"/>
    <n v="2.4965398799999998E-3"/>
    <n v="4.8193820999999998E-4"/>
    <n v="7.4356284000000003E-4"/>
    <n v="1.1735062200000001E-8"/>
    <n v="1.3349106340000001"/>
    <n v="175.52936395702"/>
    <n v="0.48045261267986"/>
    <n v="0.24315523595669999"/>
    <n v="0.23729737672316001"/>
    <n v="7.2763572436346999E-3"/>
    <n v="7.2763572436346999E-3"/>
    <n v="0"/>
    <n v="1.5885527862056999E-2"/>
    <n v="1.6002863508658999E-2"/>
    <n v="-1.1733564660199E-4"/>
    <n v="4.6497320807530997E-5"/>
    <n v="8.9759573797704008E-6"/>
    <n v="1.3848639146128E-5"/>
    <n v="2.1856208113515999E-10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m/>
    <x v="19"/>
    <x v="0"/>
    <n v="0.10299999999999999"/>
    <m/>
    <m/>
    <m/>
    <m/>
    <m/>
    <m/>
    <x v="2"/>
    <x v="2"/>
    <n v="1"/>
    <n v="0.10299999999999999"/>
    <n v="1800"/>
    <n v="185.4"/>
    <m/>
    <n v="185.4"/>
    <n v="109803.15"/>
    <n v="3.4530204571441998"/>
    <s v="m²"/>
    <s v="kg"/>
    <n v="30358"/>
    <x v="0"/>
    <n v="6"/>
    <x v="0"/>
    <s v="ja"/>
    <n v="0"/>
    <x v="3"/>
    <n v="50"/>
    <s v="Sekundärkonstruktion"/>
    <n v="100"/>
    <m/>
    <n v="2"/>
    <m/>
    <n v="1"/>
    <m/>
    <n v="100"/>
    <n v="0"/>
    <n v="0"/>
    <m/>
    <n v="0.10370840000000001"/>
    <n v="0.10370840000000001"/>
    <n v="0"/>
    <n v="2.6199716999999998E-3"/>
    <n v="2.6199716999999998E-3"/>
    <n v="0"/>
    <n v="7.0793302999999997E-3"/>
    <n v="7.0793302999999997E-3"/>
    <n v="0"/>
    <n v="4.8332080000000003E-5"/>
    <n v="1.4589555E-5"/>
    <n v="5.2414253000000002E-6"/>
    <n v="7.5267095999999998E-10"/>
    <n v="0"/>
    <n v="0"/>
    <n v="6"/>
    <n v="19.227537359999999"/>
    <n v="19.227537359999999"/>
    <n v="0"/>
    <n v="0.48574275317999999"/>
    <n v="0.48574275317999999"/>
    <n v="0"/>
    <n v="1.3125078376199999"/>
    <n v="1.3125078376199999"/>
    <n v="0"/>
    <n v="8.9607676320000006E-3"/>
    <n v="2.704903497E-3"/>
    <n v="9.7176025062000002E-4"/>
    <n v="1.3954519598399999E-7"/>
    <n v="2.0544382358700002"/>
    <n v="175.52936395702"/>
    <n v="0.35810722677769002"/>
    <n v="0.35810722677769002"/>
    <n v="0"/>
    <n v="9.0468158772386998E-3"/>
    <n v="9.0468158772386998E-3"/>
    <n v="0"/>
    <n v="2.444507234878E-2"/>
    <n v="2.444507234878E-2"/>
    <n v="0"/>
    <n v="1.6689166097633E-4"/>
    <n v="5.0378031875630002E-5"/>
    <n v="1.8098748785493E-5"/>
    <n v="2.5989882223783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18762"/>
    <x v="51"/>
    <x v="0"/>
    <n v="1.9000000000000001E-4"/>
    <m/>
    <m/>
    <m/>
    <m/>
    <m/>
    <m/>
    <x v="2"/>
    <x v="2"/>
    <n v="1"/>
    <n v="1.9000000000000001E-4"/>
    <n v="1250"/>
    <n v="0.23749999999999999"/>
    <m/>
    <n v="0.23749999999999999"/>
    <n v="140.65937500000001"/>
    <n v="4.4233676298368E-3"/>
    <s v="m²"/>
    <s v="kg"/>
    <n v="30358"/>
    <x v="0"/>
    <n v="7"/>
    <x v="0"/>
    <s v="ja"/>
    <n v="0"/>
    <x v="3"/>
    <n v="35"/>
    <s v="Gebäudeabdichtung/Folien, 35a"/>
    <n v="100"/>
    <m/>
    <n v="5"/>
    <m/>
    <n v="5"/>
    <m/>
    <n v="0"/>
    <n v="100"/>
    <n v="0"/>
    <m/>
    <n v="551.87888999999996"/>
    <n v="551.87888999999996"/>
    <n v="0"/>
    <n v="57.879454000000003"/>
    <n v="57.879454000000003"/>
    <n v="0"/>
    <n v="33.434156999999999"/>
    <n v="33.490157000000004"/>
    <n v="-5.6000000000000001E-2"/>
    <n v="0.15700528"/>
    <n v="9.3272171000000001E-2"/>
    <n v="1.0878103E-2"/>
    <n v="1.7946424E-6"/>
    <n v="0"/>
    <n v="0"/>
    <n v="6"/>
    <n v="131.07123637500001"/>
    <n v="131.07123637500001"/>
    <n v="0"/>
    <n v="13.746370324999999"/>
    <n v="13.746370324999999"/>
    <n v="0"/>
    <n v="7.9406122874999996"/>
    <n v="7.9539122874999997"/>
    <n v="-1.3299999999999999E-2"/>
    <n v="3.7288754E-2"/>
    <n v="2.2152140612499999E-2"/>
    <n v="2.5835494625000002E-3"/>
    <n v="4.2622757E-7"/>
    <n v="10.664310460416999"/>
    <n v="175.52936395702"/>
    <n v="2.4411632176162001"/>
    <n v="2.4411632176162001"/>
    <n v="0"/>
    <n v="0.25602210325622998"/>
    <n v="0.25602210325622998"/>
    <n v="0"/>
    <n v="0.14789156780467999"/>
    <n v="0.14813927639194999"/>
    <n v="-2.4770858727086E-4"/>
    <n v="6.9449207326546E-4"/>
    <n v="4.1257710196600001E-4"/>
    <n v="4.8117848684230003E-5"/>
    <n v="7.9383630992925997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m/>
    <x v="9"/>
    <x v="0"/>
    <n v="0.3"/>
    <m/>
    <m/>
    <m/>
    <m/>
    <m/>
    <m/>
    <x v="2"/>
    <x v="2"/>
    <n v="1"/>
    <n v="0.3"/>
    <n v="2325"/>
    <n v="697.5"/>
    <m/>
    <n v="697.5"/>
    <n v="413094.375"/>
    <n v="12.990732302363"/>
    <s v="m²"/>
    <s v="kg"/>
    <n v="30358"/>
    <x v="0"/>
    <n v="8"/>
    <x v="0"/>
    <s v="ja"/>
    <n v="0"/>
    <x v="3"/>
    <n v="100"/>
    <s v="Primärkonstruktion - Tragkonstruktion"/>
    <n v="100"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1092.28841775"/>
    <n v="1092.28841775"/>
    <n v="0"/>
    <n v="33.114482797500003"/>
    <n v="33.114482797500003"/>
    <n v="0"/>
    <n v="106.65634319999999"/>
    <n v="106.65634319999999"/>
    <n v="0"/>
    <n v="0.27294673229999999"/>
    <n v="0.171976318425"/>
    <n v="5.3840516737499997E-2"/>
    <n v="3.1478699519999998E-6"/>
    <n v="90.578568765"/>
    <n v="175.52936395702"/>
    <n v="20.343550440087999"/>
    <n v="20.343550440087999"/>
    <n v="0"/>
    <n v="0.61674750014840996"/>
    <n v="0.61674750014840996"/>
    <n v="0"/>
    <n v="1.9864430148532"/>
    <n v="1.9864430148532"/>
    <n v="0"/>
    <n v="5.0835525908444002E-3"/>
    <n v="3.2030083369247999E-3"/>
    <n v="1.0027637848857001E-3"/>
    <n v="5.8628151783632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19798"/>
    <x v="34"/>
    <x v="0"/>
    <n v="8.8000000000000005E-3"/>
    <m/>
    <m/>
    <m/>
    <m/>
    <m/>
    <m/>
    <x v="2"/>
    <x v="2"/>
    <n v="1"/>
    <n v="8.8000000000000005E-3"/>
    <n v="300"/>
    <n v="2.64"/>
    <m/>
    <n v="2.64"/>
    <n v="1563.54"/>
    <n v="4.9169223337975E-2"/>
    <s v="m²"/>
    <s v="kg"/>
    <n v="30358"/>
    <x v="0"/>
    <n v="9"/>
    <x v="0"/>
    <s v="ja"/>
    <n v="0"/>
    <x v="3"/>
    <n v="25"/>
    <s v="Gebäudeabdichtung/Folien, 25a"/>
    <n v="100"/>
    <m/>
    <n v="3"/>
    <m/>
    <n v="3"/>
    <m/>
    <n v="0"/>
    <n v="100"/>
    <n v="0"/>
    <m/>
    <n v="85.988403000000005"/>
    <n v="43.518402999999999"/>
    <n v="42.47"/>
    <n v="1.3022769000000001"/>
    <n v="1.3022769000000001"/>
    <n v="0"/>
    <n v="2.8430924000000002"/>
    <n v="2.8640924000000001"/>
    <n v="-2.1000000000000001E-2"/>
    <n v="8.3217996000000006E-3"/>
    <n v="1.6064606999999999E-3"/>
    <n v="2.4785428000000001E-3"/>
    <n v="3.9116873999999998E-8"/>
    <n v="0"/>
    <n v="0"/>
    <n v="6"/>
    <n v="227.00938392"/>
    <n v="114.88858392"/>
    <n v="112.1208"/>
    <n v="3.4380110159999999"/>
    <n v="3.4380110159999999"/>
    <n v="0"/>
    <n v="7.5057639360000001"/>
    <n v="7.5612039360000001"/>
    <n v="-5.5440000000000003E-2"/>
    <n v="2.1969550944000001E-2"/>
    <n v="4.2410562479999999E-3"/>
    <n v="6.543352992E-3"/>
    <n v="1.0326854736E-7"/>
    <n v="11.7472135792"/>
    <n v="175.52936395702"/>
    <n v="4.2279829915827998"/>
    <n v="2.1397660764189999"/>
    <n v="2.0882169151637999"/>
    <n v="6.4031943743986006E-2"/>
    <n v="6.4031943743986006E-2"/>
    <n v="0"/>
    <n v="0.13979264518609999"/>
    <n v="0.14082519887619999"/>
    <n v="-1.0325536900975001E-3"/>
    <n v="4.0917642310626999E-4"/>
    <n v="7.8988424941979997E-5"/>
    <n v="1.2186802448593E-4"/>
    <n v="1.923346313989400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5"/>
    <x v="12"/>
    <n v="118"/>
    <s v="opake Bauteile"/>
    <s v="nein"/>
    <n v="592.25"/>
    <m/>
    <n v="2142702349"/>
    <x v="52"/>
    <x v="0"/>
    <n v="0.15"/>
    <m/>
    <m/>
    <m/>
    <m/>
    <m/>
    <m/>
    <x v="2"/>
    <x v="2"/>
    <n v="1"/>
    <n v="0.15"/>
    <n v="30"/>
    <n v="4.5"/>
    <m/>
    <n v="4.5"/>
    <n v="2665.125"/>
    <n v="8.3811176144275995E-2"/>
    <s v="m²"/>
    <s v="kg"/>
    <n v="30358"/>
    <x v="0"/>
    <n v="10"/>
    <x v="0"/>
    <s v="ja"/>
    <n v="0"/>
    <x v="3"/>
    <n v="50"/>
    <s v="Sekundärkonstruktion"/>
    <n v="100"/>
    <m/>
    <n v="4"/>
    <m/>
    <n v="4"/>
    <m/>
    <n v="0"/>
    <n v="100"/>
    <n v="0"/>
    <m/>
    <n v="93.564520999999999"/>
    <n v="53.564520999999999"/>
    <n v="40"/>
    <n v="0.87851628000000004"/>
    <n v="0.87851628000000004"/>
    <n v="0"/>
    <n v="4.2353810000000003"/>
    <n v="4.2353810000000003"/>
    <n v="0"/>
    <n v="1.5538751999999999E-2"/>
    <n v="2.5722509999999998E-3"/>
    <n v="8.1632105000000003E-3"/>
    <n v="6.1317667000000003E-8"/>
    <n v="0"/>
    <n v="0"/>
    <n v="6"/>
    <n v="421.0403445"/>
    <n v="241.0403445"/>
    <n v="180"/>
    <n v="3.9533232599999999"/>
    <n v="3.9533232599999999"/>
    <n v="0"/>
    <n v="19.0592145"/>
    <n v="19.0592145"/>
    <n v="0"/>
    <n v="6.9924384000000006E-2"/>
    <n v="1.15751295E-2"/>
    <n v="3.6734447250000003E-2"/>
    <n v="2.759295015E-7"/>
    <n v="26.534465099999998"/>
    <n v="175.52936395702"/>
    <n v="7.8417525503857997"/>
    <n v="4.4893055046147001"/>
    <n v="3.3524470457710001"/>
    <n v="7.3629482688694001E-2"/>
    <n v="7.3629482688694001E-2"/>
    <n v="0"/>
    <n v="0.35497226302911999"/>
    <n v="0.35497226302911999"/>
    <n v="0"/>
    <n v="1.3023210809342E-3"/>
    <n v="2.1558338164829E-4"/>
    <n v="6.8416827311829998E-4"/>
    <n v="5.1391057896929999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3"/>
    <x v="13"/>
    <n v="101"/>
    <s v="opake Bauteile"/>
    <s v="nein"/>
    <n v="2146"/>
    <m/>
    <m/>
    <x v="9"/>
    <x v="0"/>
    <n v="0.25"/>
    <m/>
    <m/>
    <m/>
    <m/>
    <m/>
    <m/>
    <x v="3"/>
    <x v="0"/>
    <n v="1"/>
    <n v="0.25"/>
    <n v="2325"/>
    <n v="581.25"/>
    <m/>
    <n v="581.25"/>
    <n v="1247362.5"/>
    <n v="39.226272014731997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910.24034812499997"/>
    <n v="910.24034812499997"/>
    <n v="0"/>
    <n v="27.59540233125"/>
    <n v="27.59540233125"/>
    <n v="0"/>
    <n v="88.880285999999998"/>
    <n v="88.880285999999998"/>
    <n v="0"/>
    <n v="0.22745561025"/>
    <n v="0.14331359868749999"/>
    <n v="4.4867097281249997E-2"/>
    <n v="2.6232249600000001E-6"/>
    <n v="75.482140637499995"/>
    <n v="39.148807304167001"/>
    <n v="61.428534183803997"/>
    <n v="61.428534183803997"/>
    <n v="0"/>
    <n v="1.8623049603468"/>
    <n v="1.8623049603468"/>
    <n v="0"/>
    <n v="5.9981802587238002"/>
    <n v="5.9981802587238002"/>
    <n v="0"/>
    <n v="1.5350082819688001E-2"/>
    <n v="9.6716700310126007E-3"/>
    <n v="3.0279035913390001E-3"/>
    <n v="1.7703111541814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8"/>
    <x v="14"/>
    <n v="118"/>
    <s v="opake Bauteile"/>
    <s v="nein"/>
    <n v="13780"/>
    <m/>
    <m/>
    <x v="9"/>
    <x v="0"/>
    <n v="0.6"/>
    <m/>
    <m/>
    <m/>
    <m/>
    <m/>
    <m/>
    <x v="2"/>
    <x v="2"/>
    <n v="1"/>
    <n v="0.6"/>
    <n v="2325"/>
    <n v="1395"/>
    <m/>
    <n v="1395"/>
    <n v="19223100"/>
    <n v="604.51596834633006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2184.5768355"/>
    <n v="2184.5768355"/>
    <n v="0"/>
    <n v="66.228965595000005"/>
    <n v="66.228965595000005"/>
    <n v="0"/>
    <n v="213.31268639999999"/>
    <n v="213.31268639999999"/>
    <n v="0"/>
    <n v="0.54589346459999999"/>
    <n v="0.34395263684999999"/>
    <n v="0.10768103347499999"/>
    <n v="6.2957399039999996E-6"/>
    <n v="181.15713753"/>
    <n v="144.82380419667001"/>
    <n v="946.67496855859997"/>
    <n v="946.67496855859997"/>
    <n v="0"/>
    <n v="28.699976537087998"/>
    <n v="28.699976537087998"/>
    <n v="0"/>
    <n v="92.437939196884003"/>
    <n v="92.437939196884003"/>
    <n v="0"/>
    <n v="0.23656008341692"/>
    <n v="0.14905007980692001"/>
    <n v="4.6663013780411003E-2"/>
    <n v="2.7282260247478E-6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50"/>
    <x v="15"/>
    <n v="101"/>
    <s v="opake Bauteile"/>
    <s v="nein"/>
    <n v="1181"/>
    <m/>
    <m/>
    <x v="53"/>
    <x v="0"/>
    <n v="1.4999999999999999E-2"/>
    <m/>
    <m/>
    <m/>
    <m/>
    <m/>
    <m/>
    <x v="3"/>
    <x v="0"/>
    <n v="1"/>
    <n v="1.4999999999999999E-2"/>
    <n v="2500"/>
    <n v="37.5"/>
    <m/>
    <n v="37.5"/>
    <n v="44287.5"/>
    <n v="1.3927254682199"/>
    <s v="m²"/>
    <s v="kg"/>
    <n v="30358"/>
    <x v="0"/>
    <n v="1"/>
    <x v="0"/>
    <s v="ja"/>
    <n v="1"/>
    <x v="2"/>
    <n v="35"/>
    <s v="Fenster"/>
    <m/>
    <m/>
    <n v="1"/>
    <m/>
    <n v="2"/>
    <m/>
    <n v="100"/>
    <n v="0"/>
    <n v="0"/>
    <m/>
    <n v="11.632279"/>
    <n v="11.632279"/>
    <n v="0"/>
    <n v="0.31468941"/>
    <n v="0.31468941"/>
    <n v="0"/>
    <n v="0.97923126999999999"/>
    <n v="0.97923126999999999"/>
    <n v="0"/>
    <n v="8.4920903999999992E-3"/>
    <n v="1.0705279E-3"/>
    <n v="3.9791689999999998E-4"/>
    <n v="8.8125000000000003E-8"/>
    <n v="0"/>
    <n v="0"/>
    <n v="6"/>
    <n v="872.42092500000001"/>
    <n v="872.42092500000001"/>
    <n v="0"/>
    <n v="23.601705750000001"/>
    <n v="23.601705750000001"/>
    <n v="0"/>
    <n v="73.442345250000002"/>
    <n v="73.442345250000002"/>
    <n v="0"/>
    <n v="0.63690678000000001"/>
    <n v="8.0289592500000007E-2"/>
    <n v="2.98437675E-2"/>
    <n v="6.6093749999999997E-6"/>
    <n v="126.241992375"/>
    <n v="89.908659041666994"/>
    <n v="32.401142433479002"/>
    <n v="32.401142433479002"/>
    <n v="0"/>
    <n v="0.87655191177220004"/>
    <n v="0.87655191177220004"/>
    <n v="0"/>
    <n v="2.7276006580127001"/>
    <n v="2.7276006580127001"/>
    <n v="0"/>
    <n v="2.3654301157012E-2"/>
    <n v="2.9819029415399999E-3"/>
    <n v="1.1083780017301999E-3"/>
    <n v="2.4546786377376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5"/>
    <x v="16"/>
    <n v="160"/>
    <s v="opake Bauteile"/>
    <s v="nein"/>
    <n v="4035"/>
    <m/>
    <m/>
    <x v="9"/>
    <x v="0"/>
    <n v="0.2"/>
    <m/>
    <m/>
    <m/>
    <m/>
    <m/>
    <m/>
    <x v="4"/>
    <x v="0"/>
    <n v="1"/>
    <n v="0.2"/>
    <n v="2325"/>
    <n v="465"/>
    <m/>
    <n v="465"/>
    <n v="1876275"/>
    <n v="59.003917084602001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n v="2.0985799679999999E-6"/>
    <n v="60.385712509999998"/>
    <n v="24.052379176666999"/>
    <n v="92.400423273681"/>
    <n v="92.400423273681"/>
    <n v="0"/>
    <n v="2.8012676663558"/>
    <n v="2.8012676663558"/>
    <n v="0"/>
    <n v="9.0224258504941997"/>
    <n v="9.0224258504941997"/>
    <n v="0"/>
    <n v="2.3089500159343999E-2"/>
    <n v="1.4548066570413999E-2"/>
    <n v="4.5545539575220003E-3"/>
    <n v="2.6628911489737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0"/>
    <x v="17"/>
    <n v="114"/>
    <s v="opake Bauteile"/>
    <s v="nein"/>
    <n v="7817"/>
    <m/>
    <m/>
    <x v="9"/>
    <x v="0"/>
    <n v="0.35"/>
    <m/>
    <m/>
    <m/>
    <m/>
    <m/>
    <m/>
    <x v="1"/>
    <x v="1"/>
    <n v="1"/>
    <n v="0.35"/>
    <n v="2325"/>
    <n v="813.75"/>
    <m/>
    <n v="813.75"/>
    <n v="6361083.75"/>
    <n v="200.03936424736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1274.3364873749999"/>
    <n v="1274.3364873749999"/>
    <n v="0"/>
    <n v="38.633563263749998"/>
    <n v="38.633563263749998"/>
    <n v="0"/>
    <n v="124.43240040000001"/>
    <n v="124.43240040000001"/>
    <n v="0"/>
    <n v="0.31843785434999999"/>
    <n v="0.20063903816250001"/>
    <n v="6.2813936193750003E-2"/>
    <n v="3.672514944E-6"/>
    <n v="105.6749968925"/>
    <n v="69.341663559167003"/>
    <n v="313.26262460424999"/>
    <n v="313.26262460424999"/>
    <n v="0"/>
    <n v="9.4970610554722992"/>
    <n v="9.4970610554722992"/>
    <n v="0"/>
    <n v="30.588483278388001"/>
    <n v="30.588483278388001"/>
    <n v="0"/>
    <n v="7.8279700075535003E-2"/>
    <n v="4.9321911689373998E-2"/>
    <n v="1.5441179554004999E-2"/>
    <n v="9.0279269380851997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4"/>
    <x v="18"/>
    <n v="101"/>
    <s v="opake Bauteile"/>
    <s v="nein"/>
    <n v="420.5"/>
    <m/>
    <m/>
    <x v="9"/>
    <x v="0"/>
    <n v="0.25"/>
    <m/>
    <m/>
    <m/>
    <m/>
    <m/>
    <m/>
    <x v="3"/>
    <x v="0"/>
    <n v="1"/>
    <n v="0.25"/>
    <n v="2325"/>
    <n v="581.25"/>
    <m/>
    <n v="581.25"/>
    <n v="244415.625"/>
    <n v="7.6862289758597004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910.24034812499997"/>
    <n v="910.24034812499997"/>
    <n v="0"/>
    <n v="27.59540233125"/>
    <n v="27.59540233125"/>
    <n v="0"/>
    <n v="88.880285999999998"/>
    <n v="88.880285999999998"/>
    <n v="0"/>
    <n v="0.22745561025"/>
    <n v="0.14331359868749999"/>
    <n v="4.4867097281249997E-2"/>
    <n v="2.6232249600000001E-6"/>
    <n v="75.482140637499995"/>
    <n v="39.148807304167001"/>
    <n v="12.036672238717999"/>
    <n v="12.036672238717999"/>
    <n v="0"/>
    <n v="0.36491110709498997"/>
    <n v="0.36491110709498997"/>
    <n v="0"/>
    <n v="1.1753191047499001"/>
    <n v="1.1753191047499001"/>
    <n v="0"/>
    <n v="3.0077864984523E-3"/>
    <n v="1.8951245331038E-3"/>
    <n v="5.9330543343804004E-4"/>
    <n v="3.4688529372474003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8"/>
    <x v="19"/>
    <n v="118"/>
    <s v="opake Bauteile"/>
    <s v="nein"/>
    <n v="1223"/>
    <m/>
    <m/>
    <x v="54"/>
    <x v="0"/>
    <n v="0.18"/>
    <m/>
    <m/>
    <m/>
    <m/>
    <m/>
    <m/>
    <x v="2"/>
    <x v="2"/>
    <n v="1"/>
    <n v="0.18"/>
    <n v="2400"/>
    <n v="432"/>
    <m/>
    <n v="432"/>
    <n v="528336"/>
    <n v="16.614778503583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0.78204929999999995"/>
    <n v="0.78204929999999995"/>
    <n v="0"/>
    <n v="2.7370759000000001E-2"/>
    <n v="2.7370759000000001E-2"/>
    <n v="0"/>
    <n v="0.10818627"/>
    <n v="0.10818627"/>
    <n v="0"/>
    <n v="1.8863659E-4"/>
    <n v="1.2395097999999999E-4"/>
    <n v="3.0961443000000002E-5"/>
    <n v="2.1961850000000001E-9"/>
    <n v="0"/>
    <n v="0"/>
    <n v="6"/>
    <n v="337.84529759999998"/>
    <n v="337.84529759999998"/>
    <n v="0"/>
    <n v="11.824167888"/>
    <n v="11.824167888"/>
    <n v="0"/>
    <n v="46.736468639999998"/>
    <n v="46.736468639999998"/>
    <n v="0"/>
    <n v="8.1491006879999994E-2"/>
    <n v="5.3546823360000002E-2"/>
    <n v="1.3375343376E-2"/>
    <n v="9.4875192E-7"/>
    <n v="29.916388944000001"/>
    <n v="-6.4169443893332998"/>
    <n v="12.993575898382"/>
    <n v="12.993575898382"/>
    <n v="0"/>
    <n v="0.45475909825994998"/>
    <n v="0.45475909825994998"/>
    <n v="0"/>
    <n v="1.7974909131787999"/>
    <n v="1.7974909131787999"/>
    <n v="0"/>
    <n v="3.1341551605212001E-3"/>
    <n v="2.0594180780020999E-3"/>
    <n v="5.1441751759630997E-4"/>
    <n v="3.6489127327892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9"/>
    <x v="20"/>
    <n v="118"/>
    <s v="opake Bauteile"/>
    <s v="nein"/>
    <n v="740"/>
    <m/>
    <m/>
    <x v="9"/>
    <x v="0"/>
    <n v="0.4"/>
    <m/>
    <m/>
    <m/>
    <m/>
    <m/>
    <m/>
    <x v="2"/>
    <x v="2"/>
    <n v="1"/>
    <n v="0.4"/>
    <n v="2325"/>
    <n v="930"/>
    <m/>
    <n v="930"/>
    <n v="688200"/>
    <n v="21.642081111576999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1456.3845570000001"/>
    <n v="1456.3845570000001"/>
    <n v="0"/>
    <n v="44.152643730000001"/>
    <n v="44.152643730000001"/>
    <n v="0"/>
    <n v="142.2084576"/>
    <n v="142.2084576"/>
    <n v="0"/>
    <n v="0.36392897639999999"/>
    <n v="0.22930175789999999"/>
    <n v="7.1787355649999995E-2"/>
    <n v="4.1971599359999997E-6"/>
    <n v="120.77142502"/>
    <n v="84.438091686666993"/>
    <n v="33.891605066925997"/>
    <n v="33.891605066925997"/>
    <n v="0"/>
    <n v="1.0274785988120001"/>
    <n v="1.0274785988120001"/>
    <n v="0"/>
    <n v="3.3093408323992999"/>
    <n v="3.3093408323992999"/>
    <n v="0"/>
    <n v="8.4690112108621995E-3"/>
    <n v="5.3360938102139004E-3"/>
    <n v="1.6705674986698001E-3"/>
    <n v="9.7672339541044004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6"/>
    <x v="21"/>
    <n v="160"/>
    <s v="opake Bauteile"/>
    <s v="nein"/>
    <n v="163"/>
    <m/>
    <m/>
    <x v="9"/>
    <x v="0"/>
    <n v="0.2"/>
    <m/>
    <m/>
    <m/>
    <m/>
    <m/>
    <m/>
    <x v="4"/>
    <x v="0"/>
    <n v="1"/>
    <n v="0.2"/>
    <n v="2325"/>
    <n v="465"/>
    <m/>
    <n v="465"/>
    <n v="75795"/>
    <n v="2.3835535278290001"/>
    <s v="m²"/>
    <s v="kg"/>
    <n v="30358"/>
    <x v="0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0"/>
    <n v="6"/>
    <n v="728.19227850000004"/>
    <n v="728.19227850000004"/>
    <n v="0"/>
    <n v="22.076321865000001"/>
    <n v="22.076321865000001"/>
    <n v="0"/>
    <n v="71.104228800000001"/>
    <n v="71.104228800000001"/>
    <n v="0"/>
    <n v="0.1819644882"/>
    <n v="0.11465087894999999"/>
    <n v="3.5893677824999998E-2"/>
    <n v="2.0985799679999999E-6"/>
    <n v="60.385712509999998"/>
    <n v="24.052379176666999"/>
    <n v="3.7326565039926001"/>
    <n v="3.7326565039926001"/>
    <n v="0"/>
    <n v="0.11316149432861999"/>
    <n v="0.11316149432861999"/>
    <n v="0"/>
    <n v="0.36447469978452002"/>
    <n v="0.36447469978452002"/>
    <n v="0"/>
    <n v="9.3273569416927997E-4"/>
    <n v="5.8769141288165995E-4"/>
    <n v="1.8398817721836E-4"/>
    <n v="1.0757156314318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6"/>
    <x v="22"/>
    <n v="129"/>
    <s v="transp. Bauteile"/>
    <s v="nein"/>
    <n v="2725.0650000000001"/>
    <n v="0.111"/>
    <n v="2142734844"/>
    <x v="55"/>
    <x v="3"/>
    <m/>
    <m/>
    <m/>
    <m/>
    <m/>
    <m/>
    <m/>
    <x v="5"/>
    <x v="3"/>
    <n v="0.34268617886178998"/>
    <m/>
    <m/>
    <m/>
    <m/>
    <n v="0.34268617886178998"/>
    <n v="933.84211200000004"/>
    <n v="2.9366879879846E-2"/>
    <s v="m²"/>
    <s v="m²"/>
    <n v="30358"/>
    <x v="0"/>
    <s v="R"/>
    <x v="2"/>
    <s v="ja"/>
    <n v="1"/>
    <x v="2"/>
    <n v="35"/>
    <s v="Fenster"/>
    <m/>
    <m/>
    <n v="3"/>
    <m/>
    <n v="3"/>
    <m/>
    <m/>
    <m/>
    <m/>
    <m/>
    <n v="2283.21"/>
    <n v="2197"/>
    <n v="86.21"/>
    <n v="1176.6300000000001"/>
    <n v="84.2"/>
    <n v="1092.43"/>
    <n v="79.231499999999997"/>
    <n v="131.19"/>
    <n v="-51.958500000000001"/>
    <n v="0.61399999999999999"/>
    <n v="0.34089999999999998"/>
    <n v="7.3200000000000001E-2"/>
    <n v="8.6840259999999997E-6"/>
    <m/>
    <n v="0"/>
    <n v="6"/>
    <n v="1564.8490208779999"/>
    <n v="1505.7630699187"/>
    <n v="59.085950959350001"/>
    <n v="806.42967726828999"/>
    <n v="57.708352520325001"/>
    <n v="748.72132474797002"/>
    <n v="72.108539785366006"/>
    <n v="89.913999609756004"/>
    <n v="-17.805459824389999"/>
    <n v="0.42081862764228001"/>
    <n v="0.23364343674797"/>
    <n v="5.0169256585366001E-2"/>
    <n v="5.9517913741528003E-6"/>
    <n v="120.2888743458"/>
    <n v="210.54980087153999"/>
    <n v="134.10150762092999"/>
    <n v="129.03807019204001"/>
    <n v="5.0634374288829997"/>
    <n v="69.107903746046006"/>
    <n v="4.9453825717660003"/>
    <n v="64.162521174280002"/>
    <n v="6.1794229146369997"/>
    <n v="7.7052819428739996"/>
    <n v="-1.5258590282369999"/>
    <n v="3.6062528492451E-2"/>
    <n v="2.0022338702079E-2"/>
    <n v="4.2993112144094001E-3"/>
    <n v="5.1004549683092001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6"/>
    <x v="22"/>
    <n v="129"/>
    <s v="transp. Bauteile"/>
    <s v="nein"/>
    <n v="2725.0650000000001"/>
    <n v="0.111"/>
    <n v="2142734844"/>
    <x v="56"/>
    <x v="4"/>
    <m/>
    <m/>
    <m/>
    <m/>
    <m/>
    <m/>
    <m/>
    <x v="5"/>
    <x v="3"/>
    <n v="0.65731382113821002"/>
    <m/>
    <m/>
    <m/>
    <m/>
    <n v="0.65731382113821002"/>
    <n v="1791.222888"/>
    <n v="5.6329251716083002E-2"/>
    <s v="m²"/>
    <s v="m²"/>
    <n v="30358"/>
    <x v="0"/>
    <s v="V"/>
    <x v="2"/>
    <s v="ja"/>
    <n v="1"/>
    <x v="2"/>
    <n v="35"/>
    <s v="Fenster"/>
    <m/>
    <m/>
    <n v="1"/>
    <m/>
    <n v="2"/>
    <m/>
    <m/>
    <m/>
    <m/>
    <m/>
    <n v="801.25"/>
    <n v="785.17"/>
    <n v="16.079999999999998"/>
    <n v="38.07"/>
    <n v="38.07"/>
    <n v="0"/>
    <n v="61.53"/>
    <n v="61.53"/>
    <n v="0"/>
    <n v="0.44500000000000001"/>
    <n v="8.09E-2"/>
    <n v="2.7E-2"/>
    <n v="5.4524938000000003E-6"/>
    <m/>
    <n v="0"/>
    <n v="6"/>
    <n v="1053.3453983740001"/>
    <n v="1032.2061858862"/>
    <n v="21.139212487805001"/>
    <n v="50.047874341463"/>
    <n v="50.047874341463"/>
    <n v="0"/>
    <n v="80.889038829268003"/>
    <n v="80.889038829268003"/>
    <n v="0"/>
    <n v="0.58500930081300995"/>
    <n v="0.10635337626016"/>
    <n v="3.5494946341463003E-2"/>
    <n v="7.1679990688207997E-6"/>
    <n v="126.59425985908"/>
    <n v="210.54980087153999"/>
    <n v="90.267625875023001"/>
    <n v="88.456077139833994"/>
    <n v="1.8115487351891999"/>
    <n v="4.2889092256626"/>
    <n v="4.2889092256626"/>
    <n v="0"/>
    <n v="6.9318777161811997"/>
    <n v="6.9318777161811997"/>
    <n v="0"/>
    <n v="5.0133034027313998E-2"/>
    <n v="9.1140729276621996E-3"/>
    <n v="3.0417795926684999E-3"/>
    <n v="6.1426979148116002E-7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0"/>
    <x v="23"/>
    <n v="214"/>
    <s v="opake Bauteile"/>
    <s v="nein"/>
    <n v="500.80816399999998"/>
    <m/>
    <m/>
    <x v="57"/>
    <x v="0"/>
    <n v="7.4999999999999997E-2"/>
    <m/>
    <m/>
    <m/>
    <m/>
    <m/>
    <m/>
    <x v="6"/>
    <x v="0"/>
    <n v="1"/>
    <n v="7.4999999999999997E-2"/>
    <n v="90"/>
    <n v="6.75"/>
    <m/>
    <n v="6.75"/>
    <n v="3380.4551070000002"/>
    <n v="0.10630642781129999"/>
    <s v="m²"/>
    <s v="kg"/>
    <n v="30360"/>
    <x v="1"/>
    <n v="1"/>
    <x v="0"/>
    <s v="ja"/>
    <n v="0"/>
    <x v="0"/>
    <n v="50"/>
    <s v="Sekundärkonstruktion"/>
    <m/>
    <m/>
    <n v="4"/>
    <m/>
    <n v="3"/>
    <m/>
    <n v="100"/>
    <n v="0"/>
    <n v="0"/>
    <m/>
    <n v="45.731991999999998"/>
    <n v="45.731991999999998"/>
    <n v="0"/>
    <n v="2.1062276"/>
    <n v="2.1062276"/>
    <n v="0"/>
    <n v="2.4170243"/>
    <n v="2.4220242999999999"/>
    <n v="-5.0000000000000001E-3"/>
    <n v="1.4977371999999999E-2"/>
    <n v="6.8625474999999998E-3"/>
    <n v="1.6468655999999999E-3"/>
    <n v="2.6073393999999998E-7"/>
    <n v="0"/>
    <n v="2"/>
    <n v="6"/>
    <n v="308.690946"/>
    <n v="308.690946"/>
    <n v="0"/>
    <n v="14.2170363"/>
    <n v="14.2170363"/>
    <n v="0"/>
    <n v="16.314914025"/>
    <n v="16.348664025000001"/>
    <n v="-3.3750000000000002E-2"/>
    <n v="0.10109726099999999"/>
    <n v="4.6322195625E-2"/>
    <n v="1.11163428E-2"/>
    <n v="1.7599540949999999E-6"/>
    <n v="26.488485337499998"/>
    <n v="-4.4143363743333"/>
    <n v="4.8616047062150001"/>
    <n v="4.8616047062150001"/>
    <n v="0"/>
    <n v="0.22390553231356999"/>
    <n v="0.22390553231356999"/>
    <n v="0"/>
    <n v="0.25694521926611003"/>
    <n v="0.25747675140517001"/>
    <n v="-5.3153213905649996E-4"/>
    <n v="1.592190915321E-3"/>
    <n v="7.2953291041037E-4"/>
    <n v="1.7507239902130999E-4"/>
    <n v="2.7717693770566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0"/>
    <x v="23"/>
    <n v="214"/>
    <s v="opake Bauteile"/>
    <s v="nein"/>
    <n v="500.80816399999998"/>
    <m/>
    <m/>
    <x v="58"/>
    <x v="0"/>
    <n v="1.2500000000000001E-2"/>
    <m/>
    <m/>
    <m/>
    <m/>
    <m/>
    <m/>
    <x v="6"/>
    <x v="0"/>
    <n v="1"/>
    <n v="1.2500000000000001E-2"/>
    <n v="700"/>
    <n v="8.75"/>
    <m/>
    <n v="8.75"/>
    <n v="4382.0714349999998"/>
    <n v="0.13780462864428"/>
    <s v="m²"/>
    <s v="kg"/>
    <n v="30360"/>
    <x v="1"/>
    <n v="2"/>
    <x v="0"/>
    <s v="ja"/>
    <n v="0"/>
    <x v="0"/>
    <n v="50"/>
    <s v="Sekundärkonstruktion"/>
    <m/>
    <m/>
    <n v="4"/>
    <m/>
    <n v="3"/>
    <m/>
    <n v="100"/>
    <n v="0"/>
    <n v="0"/>
    <m/>
    <n v="3.5805927999999998"/>
    <n v="3.5805927999999998"/>
    <n v="0"/>
    <n v="0.20303582000000001"/>
    <n v="0.20303582000000001"/>
    <n v="0"/>
    <n v="0.18132751"/>
    <n v="0.21332751"/>
    <n v="-3.2000000000000001E-2"/>
    <n v="4.7190847999999997E-4"/>
    <n v="2.0462567000000001E-4"/>
    <n v="5.7137895E-5"/>
    <n v="2.5000607E-8"/>
    <n v="1"/>
    <n v="2"/>
    <n v="6"/>
    <n v="31.330186999999999"/>
    <n v="31.330186999999999"/>
    <n v="0"/>
    <n v="1.776563425"/>
    <n v="1.776563425"/>
    <n v="0"/>
    <n v="1.5866157125"/>
    <n v="1.8666157125"/>
    <n v="-0.28000000000000003"/>
    <n v="4.1291992000000001E-3"/>
    <n v="1.7904746125E-3"/>
    <n v="4.9995658125000003E-4"/>
    <n v="2.1875531124999999E-7"/>
    <n v="1.8593354120833001"/>
    <n v="-4.4143363743333"/>
    <n v="0.49342226113038001"/>
    <n v="0.49342226113038001"/>
    <n v="0"/>
    <n v="2.7979275776587001E-2"/>
    <n v="2.7979275776587001E-2"/>
    <n v="0"/>
    <n v="2.4987770178542E-2"/>
    <n v="2.9397518295158999E-2"/>
    <n v="-4.4097481166169E-3"/>
    <n v="6.5031172840486004E-5"/>
    <n v="2.8198364465437001E-5"/>
    <n v="7.8738664019907995E-6"/>
    <n v="3.4451993635166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0"/>
    <x v="23"/>
    <n v="214"/>
    <s v="opake Bauteile"/>
    <s v="nein"/>
    <n v="500.80816399999998"/>
    <m/>
    <n v="2142685464"/>
    <x v="7"/>
    <x v="0"/>
    <n v="2E-3"/>
    <m/>
    <m/>
    <m/>
    <m/>
    <m/>
    <m/>
    <x v="6"/>
    <x v="0"/>
    <n v="1"/>
    <n v="2E-3"/>
    <n v="1300"/>
    <n v="2.6"/>
    <m/>
    <n v="2.6"/>
    <n v="1302.1012264000001"/>
    <n v="4.0947661082870998E-2"/>
    <s v="m²"/>
    <s v="kg"/>
    <n v="30360"/>
    <x v="1"/>
    <n v="3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2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-4.4143363743333"/>
    <n v="0.17060838895412"/>
    <n v="0.17060838895412"/>
    <n v="0"/>
    <n v="2.6571599809832001E-2"/>
    <n v="2.6571599809832001E-2"/>
    <n v="0"/>
    <n v="1.4437591685443001E-2"/>
    <n v="1.4519487007608E-2"/>
    <n v="-8.1895322165743004E-5"/>
    <n v="4.0400735458085999E-5"/>
    <n v="1.6694942880274E-5"/>
    <n v="5.267152105479E-6"/>
    <n v="1.221795164856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0"/>
    <x v="23"/>
    <n v="214"/>
    <s v="opake Bauteile"/>
    <s v="nein"/>
    <n v="500.80816399999998"/>
    <m/>
    <m/>
    <x v="58"/>
    <x v="0"/>
    <n v="1.2500000000000001E-2"/>
    <m/>
    <m/>
    <m/>
    <m/>
    <m/>
    <m/>
    <x v="6"/>
    <x v="0"/>
    <n v="1"/>
    <n v="1.2500000000000001E-2"/>
    <n v="700"/>
    <n v="8.75"/>
    <m/>
    <n v="8.75"/>
    <n v="4382.0714349999998"/>
    <n v="0.13780462864428"/>
    <s v="m²"/>
    <s v="kg"/>
    <n v="30360"/>
    <x v="1"/>
    <n v="4"/>
    <x v="0"/>
    <s v="ja"/>
    <n v="0"/>
    <x v="0"/>
    <n v="50"/>
    <s v="Sekundärkonstruktion"/>
    <m/>
    <m/>
    <n v="4"/>
    <m/>
    <n v="3"/>
    <m/>
    <n v="100"/>
    <n v="0"/>
    <n v="0"/>
    <m/>
    <n v="3.5805927999999998"/>
    <n v="3.5805927999999998"/>
    <n v="0"/>
    <n v="0.20303582000000001"/>
    <n v="0.20303582000000001"/>
    <n v="0"/>
    <n v="0.18132751"/>
    <n v="0.21332751"/>
    <n v="-3.2000000000000001E-2"/>
    <n v="4.7190847999999997E-4"/>
    <n v="2.0462567000000001E-4"/>
    <n v="5.7137895E-5"/>
    <n v="2.5000607E-8"/>
    <n v="1"/>
    <n v="2"/>
    <n v="6"/>
    <n v="31.330186999999999"/>
    <n v="31.330186999999999"/>
    <n v="0"/>
    <n v="1.776563425"/>
    <n v="1.776563425"/>
    <n v="0"/>
    <n v="1.5866157125"/>
    <n v="1.8666157125"/>
    <n v="-0.28000000000000003"/>
    <n v="4.1291992000000001E-3"/>
    <n v="1.7904746125E-3"/>
    <n v="4.9995658125000003E-4"/>
    <n v="2.1875531124999999E-7"/>
    <n v="1.8593354120833001"/>
    <n v="-4.4143363743333"/>
    <n v="0.49342226113038001"/>
    <n v="0.49342226113038001"/>
    <n v="0"/>
    <n v="2.7979275776587001E-2"/>
    <n v="2.7979275776587001E-2"/>
    <n v="0"/>
    <n v="2.4987770178542E-2"/>
    <n v="2.9397518295158999E-2"/>
    <n v="-4.4097481166169E-3"/>
    <n v="6.5031172840486004E-5"/>
    <n v="2.8198364465437001E-5"/>
    <n v="7.8738664019907995E-6"/>
    <n v="3.4451993635166001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0"/>
    <x v="23"/>
    <n v="214"/>
    <s v="opake Bauteile"/>
    <s v="nein"/>
    <n v="500.80816399999998"/>
    <m/>
    <n v="2142685464"/>
    <x v="7"/>
    <x v="0"/>
    <n v="2E-3"/>
    <m/>
    <m/>
    <m/>
    <m/>
    <m/>
    <m/>
    <x v="6"/>
    <x v="0"/>
    <n v="1"/>
    <n v="2E-3"/>
    <n v="1300"/>
    <n v="2.6"/>
    <m/>
    <n v="2.6"/>
    <n v="1302.1012264000001"/>
    <n v="4.0947661082870998E-2"/>
    <s v="m²"/>
    <s v="kg"/>
    <n v="30360"/>
    <x v="1"/>
    <n v="5"/>
    <x v="0"/>
    <s v="ja"/>
    <n v="1"/>
    <x v="2"/>
    <n v="35"/>
    <s v="Putze/Untergrund"/>
    <m/>
    <m/>
    <n v="2"/>
    <m/>
    <n v="3"/>
    <m/>
    <n v="100"/>
    <n v="0"/>
    <n v="0"/>
    <m/>
    <n v="2.0832495"/>
    <n v="2.0832495"/>
    <n v="0"/>
    <n v="0.32445808999999998"/>
    <n v="0.32445808999999998"/>
    <n v="0"/>
    <n v="0.17529323999999999"/>
    <n v="0.17729323999999999"/>
    <n v="-2E-3"/>
    <n v="4.9332165000000002E-4"/>
    <n v="2.038571E-4"/>
    <n v="6.4315664999999996E-5"/>
    <n v="1.4918986000000002E-8"/>
    <n v="0"/>
    <n v="2"/>
    <n v="6"/>
    <n v="10.8328974"/>
    <n v="10.8328974"/>
    <n v="0"/>
    <n v="1.687182068"/>
    <n v="1.687182068"/>
    <n v="0"/>
    <n v="0.91672484799999998"/>
    <n v="0.92192484799999996"/>
    <n v="-5.1999999999999998E-3"/>
    <n v="2.5652725799999998E-3"/>
    <n v="1.06005692E-3"/>
    <n v="3.34441458E-4"/>
    <n v="7.7578727200000002E-8"/>
    <n v="0.85592039866667002"/>
    <n v="-4.4143363743333"/>
    <n v="0.17060838895412"/>
    <n v="0.17060838895412"/>
    <n v="0"/>
    <n v="2.6571599809832001E-2"/>
    <n v="2.6571599809832001E-2"/>
    <n v="0"/>
    <n v="1.4437591685443001E-2"/>
    <n v="1.4519487007608E-2"/>
    <n v="-8.1895322165743004E-5"/>
    <n v="4.0400735458085999E-5"/>
    <n v="1.6694942880274E-5"/>
    <n v="5.267152105479E-6"/>
    <n v="1.2217951648562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2"/>
    <x v="24"/>
    <n v="208"/>
    <s v="sonstige"/>
    <s v="ja"/>
    <n v="261"/>
    <m/>
    <m/>
    <x v="9"/>
    <x v="0"/>
    <m/>
    <m/>
    <m/>
    <m/>
    <m/>
    <m/>
    <m/>
    <x v="7"/>
    <x v="4"/>
    <n v="1"/>
    <m/>
    <m/>
    <m/>
    <n v="1507"/>
    <n v="5.7739463601532997"/>
    <n v="1507"/>
    <n v="4.7391188949645002E-2"/>
    <s v="Stk."/>
    <s v="kg"/>
    <n v="30359"/>
    <x v="2"/>
    <m/>
    <x v="0"/>
    <s v="nein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3"/>
    <n v="6"/>
    <n v="2359.9693843"/>
    <n v="2359.9693843"/>
    <n v="0"/>
    <n v="71.546273227"/>
    <n v="71.546273227"/>
    <n v="0"/>
    <n v="230.43886624000001"/>
    <n v="230.43886624000001"/>
    <n v="0"/>
    <n v="0.58972147036"/>
    <n v="0.37156747221000003"/>
    <n v="0.116326392435"/>
    <n v="6.8012043264000003E-6"/>
    <n v="195.70165323133"/>
    <n v="159.36831989800001"/>
    <n v="19.370071703223999"/>
    <n v="19.370071703223999"/>
    <n v="0"/>
    <n v="0.58723492420072998"/>
    <n v="0.58723492420072998"/>
    <n v="0"/>
    <n v="1.8913878256104999"/>
    <n v="1.8913878256104999"/>
    <n v="0"/>
    <n v="4.8402946418697997E-3"/>
    <n v="3.0497381140510999E-3"/>
    <n v="9.5477957359676004E-4"/>
    <n v="5.5822679881808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37"/>
    <x v="25"/>
    <n v="208"/>
    <s v="sonstige"/>
    <s v="ja"/>
    <n v="240"/>
    <m/>
    <m/>
    <x v="9"/>
    <x v="0"/>
    <m/>
    <m/>
    <m/>
    <m/>
    <m/>
    <m/>
    <m/>
    <x v="7"/>
    <x v="4"/>
    <n v="1"/>
    <m/>
    <m/>
    <m/>
    <n v="575"/>
    <n v="2.3958333333333002"/>
    <n v="575"/>
    <n v="1.8082238650328999E-2"/>
    <s v="Stk."/>
    <s v="kg"/>
    <n v="30359"/>
    <x v="2"/>
    <m/>
    <x v="0"/>
    <s v="nein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3"/>
    <n v="6"/>
    <n v="900.45281750000004"/>
    <n v="900.45281750000004"/>
    <n v="0"/>
    <n v="27.298677574999999"/>
    <n v="27.298677574999999"/>
    <n v="0"/>
    <n v="87.924583999999996"/>
    <n v="87.924583999999996"/>
    <n v="0"/>
    <n v="0.22500985100000001"/>
    <n v="0.14177259225"/>
    <n v="4.4384655374999998E-2"/>
    <n v="2.5950182399999998E-6"/>
    <n v="74.670504716666997"/>
    <n v="38.337171383333001"/>
    <n v="6.7960498390524"/>
    <n v="6.7960498390524"/>
    <n v="0"/>
    <n v="0.20603319766937001"/>
    <n v="0.20603319766937001"/>
    <n v="0"/>
    <n v="0.66359929507572002"/>
    <n v="0.66359929507572002"/>
    <n v="0"/>
    <n v="1.6982324136864001E-3"/>
    <n v="1.0700100927194E-3"/>
    <n v="3.3498737985532002E-4"/>
    <n v="1.9585560675188001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1"/>
    <x v="26"/>
    <n v="208"/>
    <s v="sonstige"/>
    <s v="ja"/>
    <n v="20"/>
    <m/>
    <m/>
    <x v="9"/>
    <x v="0"/>
    <m/>
    <m/>
    <m/>
    <m/>
    <m/>
    <m/>
    <m/>
    <x v="7"/>
    <x v="4"/>
    <n v="1"/>
    <m/>
    <m/>
    <m/>
    <n v="607"/>
    <n v="30.35"/>
    <n v="607"/>
    <n v="1.9088554540434E-2"/>
    <s v="Stk."/>
    <s v="kg"/>
    <n v="30359"/>
    <x v="2"/>
    <m/>
    <x v="0"/>
    <s v="nein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1"/>
    <n v="3"/>
    <n v="6"/>
    <n v="950.56497430000002"/>
    <n v="950.56497430000002"/>
    <n v="0"/>
    <n v="28.817908327000001"/>
    <n v="28.817908327000001"/>
    <n v="0"/>
    <n v="92.817778239999996"/>
    <n v="92.817778239999996"/>
    <n v="0"/>
    <n v="0.23753213836000001"/>
    <n v="0.14966254521"/>
    <n v="4.6854757934999998E-2"/>
    <n v="2.7394366464E-6"/>
    <n v="78.826080631332999"/>
    <n v="42.492747297999998"/>
    <n v="0.59785539888475003"/>
    <n v="0.59785539888475003"/>
    <n v="0"/>
    <n v="1.8124949418161E-2"/>
    <n v="1.8124949418161E-2"/>
    <n v="0"/>
    <n v="5.8377503204487001E-2"/>
    <n v="5.8377503204487001E-2"/>
    <n v="0"/>
    <n v="1.4939522827646999E-4"/>
    <n v="9.4129873374013999E-5"/>
    <n v="2.9469179648142E-5"/>
    <n v="1.7229616420056E-9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7"/>
    <x v="27"/>
    <n v="250"/>
    <s v="opake Bauteile"/>
    <s v="nein"/>
    <n v="800"/>
    <m/>
    <m/>
    <x v="9"/>
    <x v="0"/>
    <n v="0.15"/>
    <m/>
    <m/>
    <m/>
    <m/>
    <m/>
    <m/>
    <x v="8"/>
    <x v="2"/>
    <n v="1"/>
    <n v="0.15"/>
    <n v="2325"/>
    <n v="348.75"/>
    <m/>
    <n v="348.75"/>
    <n v="279000"/>
    <n v="8.7738166668553994"/>
    <s v="m²"/>
    <s v="kg"/>
    <n v="30363"/>
    <x v="3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4"/>
    <n v="6"/>
    <n v="546.144208875"/>
    <n v="546.144208875"/>
    <n v="0"/>
    <n v="16.557241398750001"/>
    <n v="16.557241398750001"/>
    <n v="0"/>
    <n v="53.328171599999997"/>
    <n v="53.328171599999997"/>
    <n v="0"/>
    <n v="0.13647336615"/>
    <n v="8.5988159212499998E-2"/>
    <n v="2.6920258368749998E-2"/>
    <n v="1.5739349759999999E-6"/>
    <n v="45.2892843825"/>
    <n v="8.9559510491666998"/>
    <n v="13.739839891997001"/>
    <n v="13.739839891997001"/>
    <n v="0"/>
    <n v="0.41654537789676999"/>
    <n v="0.41654537789676999"/>
    <n v="0"/>
    <n v="1.3416246617834999"/>
    <n v="1.3416246617834999"/>
    <n v="0"/>
    <n v="3.4333829233225001E-3"/>
    <n v="2.163281274411E-3"/>
    <n v="6.7725709405530999E-4"/>
    <n v="3.9596894408531997E-8"/>
  </r>
  <r>
    <n v="25868"/>
    <s v="Südtiroler Siedlung Salzburg v2"/>
    <n v="50"/>
    <s v="ja, ganzzahlig (1)"/>
    <n v="2"/>
    <s v="BGF"/>
    <n v="31799.16"/>
    <s v="m²"/>
    <n v="4"/>
    <n v="31799.16"/>
    <x v="0"/>
    <n v="92117.401014000003"/>
    <m/>
    <m/>
    <n v="796849"/>
    <x v="28"/>
    <n v="250"/>
    <s v="opake Bauteile"/>
    <s v="nein"/>
    <n v="760"/>
    <m/>
    <m/>
    <x v="9"/>
    <x v="0"/>
    <n v="0.15"/>
    <m/>
    <m/>
    <m/>
    <m/>
    <m/>
    <m/>
    <x v="8"/>
    <x v="2"/>
    <n v="1"/>
    <n v="0.15"/>
    <n v="2325"/>
    <n v="348.75"/>
    <m/>
    <n v="348.75"/>
    <n v="265050"/>
    <n v="8.3351258335126008"/>
    <s v="m²"/>
    <s v="kg"/>
    <n v="30363"/>
    <x v="3"/>
    <n v="1"/>
    <x v="0"/>
    <s v="ja"/>
    <n v="0"/>
    <x v="3"/>
    <n v="100"/>
    <s v="Primärkonstruktion - Tragkonstruktion"/>
    <m/>
    <m/>
    <m/>
    <m/>
    <m/>
    <m/>
    <m/>
    <m/>
    <m/>
    <m/>
    <n v="1.5660049"/>
    <n v="1.5660049"/>
    <n v="0"/>
    <n v="4.7475960999999997E-2"/>
    <n v="4.7475960999999997E-2"/>
    <n v="0"/>
    <n v="0.15291231999999999"/>
    <n v="0.15291231999999999"/>
    <n v="0"/>
    <n v="3.9132148000000001E-4"/>
    <n v="2.4656103E-4"/>
    <n v="7.7190705E-5"/>
    <n v="4.5130751999999996E-9"/>
    <n v="0"/>
    <n v="4"/>
    <n v="6"/>
    <n v="546.144208875"/>
    <n v="546.144208875"/>
    <n v="0"/>
    <n v="16.557241398750001"/>
    <n v="16.557241398750001"/>
    <n v="0"/>
    <n v="53.328171599999997"/>
    <n v="53.328171599999997"/>
    <n v="0"/>
    <n v="0.13647336615"/>
    <n v="8.5988159212499998E-2"/>
    <n v="2.6920258368749998E-2"/>
    <n v="1.5739349759999999E-6"/>
    <n v="45.2892843825"/>
    <n v="8.9559510491666998"/>
    <n v="13.052847897396999"/>
    <n v="13.052847897396999"/>
    <n v="0"/>
    <n v="0.39571810900193999"/>
    <n v="0.39571810900193999"/>
    <n v="0"/>
    <n v="1.2745434286943"/>
    <n v="1.2745434286943"/>
    <n v="0"/>
    <n v="3.2617137771563998E-3"/>
    <n v="2.0551172106905002E-3"/>
    <n v="6.4339423935254997E-4"/>
    <n v="3.7617049688105E-8"/>
  </r>
  <r>
    <m/>
    <m/>
    <m/>
    <m/>
    <m/>
    <m/>
    <m/>
    <m/>
    <m/>
    <m/>
    <x v="0"/>
    <m/>
    <m/>
    <m/>
    <m/>
    <x v="29"/>
    <m/>
    <m/>
    <m/>
    <m/>
    <m/>
    <m/>
    <x v="59"/>
    <x v="0"/>
    <m/>
    <m/>
    <m/>
    <m/>
    <m/>
    <m/>
    <m/>
    <x v="9"/>
    <x v="5"/>
    <m/>
    <m/>
    <m/>
    <m/>
    <m/>
    <m/>
    <m/>
    <m/>
    <m/>
    <m/>
    <m/>
    <x v="4"/>
    <m/>
    <x v="2"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77464E-4C14-46DE-B7FD-63C5FD49093A}" name="PivotTable1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1:E161" firstHeaderRow="0" firstDataRow="1" firstDataCol="1"/>
  <pivotFields count="10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22"/>
        <item x="12"/>
        <item x="23"/>
        <item x="13"/>
        <item x="27"/>
        <item x="28"/>
        <item x="14"/>
        <item x="15"/>
        <item x="16"/>
        <item x="24"/>
        <item x="17"/>
        <item x="18"/>
        <item x="19"/>
        <item x="20"/>
        <item x="21"/>
        <item x="25"/>
        <item x="26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>
      <items count="59">
        <item x="36"/>
        <item x="30"/>
        <item x="24"/>
        <item x="38"/>
        <item x="23"/>
        <item x="35"/>
        <item x="25"/>
        <item x="22"/>
        <item x="13"/>
        <item x="51"/>
        <item x="39"/>
        <item x="28"/>
        <item x="33"/>
        <item x="42"/>
        <item x="18"/>
        <item x="54"/>
        <item x="0"/>
        <item x="31"/>
        <item x="14"/>
        <item x="48"/>
        <item x="57"/>
        <item x="52"/>
        <item x="55"/>
        <item x="56"/>
        <item x="16"/>
        <item x="3"/>
        <item x="15"/>
        <item x="44"/>
        <item x="10"/>
        <item x="47"/>
        <item x="40"/>
        <item x="49"/>
        <item x="11"/>
        <item x="2"/>
        <item x="46"/>
        <item x="5"/>
        <item x="53"/>
        <item x="12"/>
        <item x="27"/>
        <item x="21"/>
        <item x="32"/>
        <item x="6"/>
        <item x="29"/>
        <item x="1"/>
        <item x="7"/>
        <item x="26"/>
        <item x="19"/>
        <item x="8"/>
        <item x="37"/>
        <item x="9"/>
        <item x="45"/>
        <item x="34"/>
        <item x="43"/>
        <item x="4"/>
        <item x="17"/>
        <item x="20"/>
        <item x="41"/>
        <item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10"/>
        <item sd="0" x="3"/>
        <item x="2"/>
        <item x="0"/>
        <item x="4"/>
        <item x="7"/>
        <item x="5"/>
        <item x="8"/>
        <item x="9"/>
        <item x="1"/>
        <item x="6"/>
        <item t="default"/>
      </items>
    </pivotField>
    <pivotField axis="axisRow" showAll="0">
      <items count="6">
        <item x="2"/>
        <item x="1"/>
        <item x="3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32"/>
    <field x="31"/>
    <field x="15"/>
    <field x="22"/>
  </rowFields>
  <rowItems count="160">
    <i>
      <x/>
    </i>
    <i r="1">
      <x/>
    </i>
    <i r="2">
      <x v="16"/>
    </i>
    <i r="3">
      <x v="49"/>
    </i>
    <i r="2">
      <x v="17"/>
    </i>
    <i r="3">
      <x v="49"/>
    </i>
    <i r="1">
      <x v="1"/>
    </i>
    <i>
      <x v="1"/>
    </i>
    <i r="1">
      <x v="2"/>
    </i>
    <i r="2">
      <x v="4"/>
    </i>
    <i r="3">
      <x v="2"/>
    </i>
    <i r="3">
      <x v="4"/>
    </i>
    <i r="3">
      <x v="7"/>
    </i>
    <i r="3">
      <x v="16"/>
    </i>
    <i r="3">
      <x v="39"/>
    </i>
    <i r="3">
      <x v="46"/>
    </i>
    <i r="3">
      <x v="55"/>
    </i>
    <i r="2">
      <x v="5"/>
    </i>
    <i r="3">
      <x v="2"/>
    </i>
    <i r="3">
      <x v="6"/>
    </i>
    <i r="3">
      <x v="14"/>
    </i>
    <i r="3">
      <x v="39"/>
    </i>
    <i r="3">
      <x v="44"/>
    </i>
    <i r="3">
      <x v="46"/>
    </i>
    <i r="3">
      <x v="47"/>
    </i>
    <i r="3">
      <x v="49"/>
    </i>
    <i r="3">
      <x v="55"/>
    </i>
    <i r="2">
      <x v="6"/>
    </i>
    <i r="3">
      <x v="1"/>
    </i>
    <i r="3">
      <x v="11"/>
    </i>
    <i r="3">
      <x v="17"/>
    </i>
    <i r="3">
      <x v="32"/>
    </i>
    <i r="3">
      <x v="38"/>
    </i>
    <i r="3">
      <x v="39"/>
    </i>
    <i r="3">
      <x v="42"/>
    </i>
    <i r="3">
      <x v="44"/>
    </i>
    <i r="3">
      <x v="45"/>
    </i>
    <i r="3">
      <x v="47"/>
    </i>
    <i r="3">
      <x v="55"/>
    </i>
    <i r="2">
      <x v="7"/>
    </i>
    <i r="3">
      <x/>
    </i>
    <i r="3">
      <x v="5"/>
    </i>
    <i r="3">
      <x v="12"/>
    </i>
    <i r="3">
      <x v="35"/>
    </i>
    <i r="3">
      <x v="40"/>
    </i>
    <i r="3">
      <x v="48"/>
    </i>
    <i r="3">
      <x v="51"/>
    </i>
    <i r="2">
      <x v="8"/>
    </i>
    <i r="3">
      <x/>
    </i>
    <i r="3">
      <x v="3"/>
    </i>
    <i r="3">
      <x v="5"/>
    </i>
    <i r="3">
      <x v="12"/>
    </i>
    <i r="3">
      <x v="40"/>
    </i>
    <i r="3">
      <x v="48"/>
    </i>
    <i r="3">
      <x v="49"/>
    </i>
    <i r="3">
      <x v="51"/>
    </i>
    <i r="2">
      <x v="9"/>
    </i>
    <i r="3">
      <x/>
    </i>
    <i r="3">
      <x v="5"/>
    </i>
    <i r="3">
      <x v="10"/>
    </i>
    <i r="3">
      <x v="12"/>
    </i>
    <i r="3">
      <x v="30"/>
    </i>
    <i r="3">
      <x v="40"/>
    </i>
    <i r="3">
      <x v="48"/>
    </i>
    <i r="3">
      <x v="49"/>
    </i>
    <i r="2">
      <x v="10"/>
    </i>
    <i r="3">
      <x/>
    </i>
    <i r="3">
      <x v="5"/>
    </i>
    <i r="3">
      <x v="12"/>
    </i>
    <i r="3">
      <x v="30"/>
    </i>
    <i r="3">
      <x v="40"/>
    </i>
    <i r="3">
      <x v="48"/>
    </i>
    <i r="3">
      <x v="49"/>
    </i>
    <i r="3">
      <x v="51"/>
    </i>
    <i r="2">
      <x v="11"/>
    </i>
    <i r="3">
      <x v="12"/>
    </i>
    <i r="3">
      <x v="13"/>
    </i>
    <i r="3">
      <x v="26"/>
    </i>
    <i r="3">
      <x v="27"/>
    </i>
    <i r="3">
      <x v="29"/>
    </i>
    <i r="3">
      <x v="32"/>
    </i>
    <i r="3">
      <x v="34"/>
    </i>
    <i r="3">
      <x v="50"/>
    </i>
    <i r="3">
      <x v="51"/>
    </i>
    <i r="3">
      <x v="52"/>
    </i>
    <i r="3">
      <x v="56"/>
    </i>
    <i r="2">
      <x v="22"/>
    </i>
    <i r="3">
      <x v="49"/>
    </i>
    <i r="1">
      <x v="9"/>
    </i>
    <i r="2">
      <x v="4"/>
    </i>
    <i r="3">
      <x v="14"/>
    </i>
    <i>
      <x v="2"/>
    </i>
    <i r="1">
      <x v="5"/>
    </i>
    <i r="2">
      <x v="12"/>
    </i>
    <i r="3">
      <x v="15"/>
    </i>
    <i r="3">
      <x v="22"/>
    </i>
    <i>
      <x v="3"/>
    </i>
    <i r="1">
      <x v="8"/>
    </i>
    <i r="2">
      <x v="21"/>
    </i>
    <i r="3">
      <x v="49"/>
    </i>
    <i r="2">
      <x v="27"/>
    </i>
    <i r="3">
      <x v="49"/>
    </i>
    <i r="2">
      <x v="28"/>
    </i>
    <i r="3">
      <x v="49"/>
    </i>
    <i>
      <x v="4"/>
    </i>
    <i r="1">
      <x v="3"/>
    </i>
    <i r="2">
      <x/>
    </i>
    <i r="3">
      <x v="16"/>
    </i>
    <i r="3">
      <x v="25"/>
    </i>
    <i r="3">
      <x v="33"/>
    </i>
    <i r="3">
      <x v="35"/>
    </i>
    <i r="3">
      <x v="41"/>
    </i>
    <i r="3">
      <x v="43"/>
    </i>
    <i r="3">
      <x v="53"/>
    </i>
    <i r="2">
      <x v="1"/>
    </i>
    <i r="3">
      <x v="28"/>
    </i>
    <i r="3">
      <x v="35"/>
    </i>
    <i r="3">
      <x v="41"/>
    </i>
    <i r="3">
      <x v="44"/>
    </i>
    <i r="3">
      <x v="47"/>
    </i>
    <i r="3">
      <x v="49"/>
    </i>
    <i r="3">
      <x v="53"/>
    </i>
    <i r="2">
      <x v="2"/>
    </i>
    <i r="3">
      <x v="8"/>
    </i>
    <i r="3">
      <x v="32"/>
    </i>
    <i r="3">
      <x v="33"/>
    </i>
    <i r="3">
      <x v="37"/>
    </i>
    <i r="3">
      <x v="43"/>
    </i>
    <i r="3">
      <x v="44"/>
    </i>
    <i r="3">
      <x v="47"/>
    </i>
    <i r="3">
      <x v="53"/>
    </i>
    <i r="2">
      <x v="3"/>
    </i>
    <i r="3">
      <x v="8"/>
    </i>
    <i r="3">
      <x v="18"/>
    </i>
    <i r="3">
      <x v="24"/>
    </i>
    <i r="3">
      <x v="26"/>
    </i>
    <i r="3">
      <x v="33"/>
    </i>
    <i r="3">
      <x v="35"/>
    </i>
    <i r="3">
      <x v="43"/>
    </i>
    <i r="3">
      <x v="47"/>
    </i>
    <i r="3">
      <x v="54"/>
    </i>
    <i r="1">
      <x v="4"/>
    </i>
    <i r="2">
      <x v="15"/>
    </i>
    <i r="3">
      <x v="49"/>
    </i>
    <i r="2">
      <x v="19"/>
    </i>
    <i r="3">
      <x v="21"/>
    </i>
    <i r="1">
      <x v="6"/>
    </i>
    <i r="2">
      <x v="20"/>
    </i>
    <i r="3">
      <x v="49"/>
    </i>
    <i r="2">
      <x v="26"/>
    </i>
    <i r="3">
      <x v="49"/>
    </i>
    <i r="1">
      <x v="7"/>
    </i>
    <i r="2">
      <x v="14"/>
    </i>
    <i r="3">
      <x v="20"/>
    </i>
    <i r="3">
      <x v="23"/>
    </i>
    <i r="3">
      <x v="44"/>
    </i>
    <i r="1">
      <x v="10"/>
    </i>
    <i r="2">
      <x v="23"/>
    </i>
    <i r="3">
      <x v="4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me von Bauteilfläche ges." fld="19" baseField="0" baseItem="0"/>
    <dataField name="Summe von Material GWP-total" fld="68" baseField="0" baseItem="0"/>
    <dataField name="Summe von Material GWP-fossil" fld="69" baseField="0" baseItem="0"/>
    <dataField name="Summe von Material GWP-biogenic" fld="70" baseField="0" baseItem="0"/>
  </dataFields>
  <formats count="1">
    <format dxfId="70">
      <pivotArea outline="0" collapsedLevelsAreSubtotals="1" fieldPosition="0"/>
    </format>
  </formats>
  <chartFormats count="4"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5EFD5-C60B-4F38-9C77-7116FE4DEC02}" name="PivotTable2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22:F189" firstHeaderRow="0" firstDataRow="1" firstDataCol="1"/>
  <pivotFields count="10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 sortType="a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22"/>
        <item x="12"/>
        <item x="23"/>
        <item x="13"/>
        <item x="27"/>
        <item x="28"/>
        <item x="14"/>
        <item x="15"/>
        <item x="16"/>
        <item x="24"/>
        <item x="17"/>
        <item x="18"/>
        <item x="19"/>
        <item x="20"/>
        <item x="21"/>
        <item x="25"/>
        <item x="26"/>
        <item x="2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1">
        <item x="36"/>
        <item x="30"/>
        <item x="24"/>
        <item x="39"/>
        <item x="23"/>
        <item x="35"/>
        <item x="25"/>
        <item x="22"/>
        <item x="13"/>
        <item x="52"/>
        <item x="40"/>
        <item x="28"/>
        <item x="33"/>
        <item x="43"/>
        <item x="18"/>
        <item x="55"/>
        <item x="0"/>
        <item x="31"/>
        <item x="14"/>
        <item x="49"/>
        <item x="58"/>
        <item x="53"/>
        <item x="56"/>
        <item x="57"/>
        <item x="16"/>
        <item x="3"/>
        <item x="15"/>
        <item x="45"/>
        <item x="10"/>
        <item x="48"/>
        <item x="41"/>
        <item x="50"/>
        <item x="11"/>
        <item x="2"/>
        <item x="47"/>
        <item x="5"/>
        <item x="54"/>
        <item x="12"/>
        <item x="27"/>
        <item x="21"/>
        <item x="38"/>
        <item x="6"/>
        <item x="29"/>
        <item x="1"/>
        <item x="7"/>
        <item x="26"/>
        <item x="19"/>
        <item x="8"/>
        <item x="37"/>
        <item x="9"/>
        <item x="46"/>
        <item x="32"/>
        <item x="34"/>
        <item x="44"/>
        <item x="4"/>
        <item x="17"/>
        <item x="20"/>
        <item x="42"/>
        <item x="51"/>
        <item x="59"/>
        <item t="default"/>
      </items>
    </pivotField>
    <pivotField showAll="0">
      <items count="6"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1">
        <item x="8"/>
        <item x="2"/>
        <item x="1"/>
        <item x="0"/>
        <item x="3"/>
        <item x="5"/>
        <item x="4"/>
        <item x="6"/>
        <item x="7"/>
        <item x="9"/>
        <item t="default"/>
      </items>
    </pivotField>
    <pivotField axis="axisRow" showAll="0">
      <items count="7">
        <item x="0"/>
        <item x="1"/>
        <item x="2"/>
        <item sd="0"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nonAutoSortDefault="1">
      <items count="6">
        <item h="1" x="4"/>
        <item x="0"/>
        <item x="2"/>
        <item x="1"/>
        <item x="3"/>
        <item t="default"/>
      </items>
    </pivotField>
    <pivotField showAll="0"/>
    <pivotField dataField="1" showAll="0">
      <items count="4">
        <item x="0"/>
        <item x="1"/>
        <item x="2"/>
        <item t="default"/>
      </items>
    </pivotField>
    <pivotField showAll="0"/>
    <pivotField showAll="0"/>
    <pivotField dataField="1"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</pivotFields>
  <rowFields count="4">
    <field x="44"/>
    <field x="32"/>
    <field x="15"/>
    <field x="22"/>
  </rowFields>
  <rowItems count="167">
    <i>
      <x v="1"/>
    </i>
    <i r="1">
      <x/>
    </i>
    <i r="2">
      <x/>
    </i>
    <i r="3">
      <x v="16"/>
    </i>
    <i r="3">
      <x v="25"/>
    </i>
    <i r="3">
      <x v="33"/>
    </i>
    <i r="3">
      <x v="35"/>
    </i>
    <i r="3">
      <x v="41"/>
    </i>
    <i r="3">
      <x v="43"/>
    </i>
    <i r="3">
      <x v="54"/>
    </i>
    <i r="2">
      <x v="1"/>
    </i>
    <i r="3">
      <x v="28"/>
    </i>
    <i r="3">
      <x v="35"/>
    </i>
    <i r="3">
      <x v="41"/>
    </i>
    <i r="3">
      <x v="44"/>
    </i>
    <i r="3">
      <x v="47"/>
    </i>
    <i r="3">
      <x v="49"/>
    </i>
    <i r="3">
      <x v="54"/>
    </i>
    <i r="2">
      <x v="2"/>
    </i>
    <i r="3">
      <x v="8"/>
    </i>
    <i r="3">
      <x v="32"/>
    </i>
    <i r="3">
      <x v="33"/>
    </i>
    <i r="3">
      <x v="37"/>
    </i>
    <i r="3">
      <x v="43"/>
    </i>
    <i r="3">
      <x v="44"/>
    </i>
    <i r="3">
      <x v="47"/>
    </i>
    <i r="3">
      <x v="54"/>
    </i>
    <i r="2">
      <x v="3"/>
    </i>
    <i r="3">
      <x v="8"/>
    </i>
    <i r="3">
      <x v="18"/>
    </i>
    <i r="3">
      <x v="24"/>
    </i>
    <i r="3">
      <x v="26"/>
    </i>
    <i r="3">
      <x v="33"/>
    </i>
    <i r="3">
      <x v="35"/>
    </i>
    <i r="3">
      <x v="43"/>
    </i>
    <i r="3">
      <x v="47"/>
    </i>
    <i r="3">
      <x v="55"/>
    </i>
    <i r="2">
      <x v="15"/>
    </i>
    <i r="3">
      <x v="49"/>
    </i>
    <i r="2">
      <x v="19"/>
    </i>
    <i r="3">
      <x v="21"/>
    </i>
    <i r="2">
      <x v="20"/>
    </i>
    <i r="3">
      <x v="49"/>
    </i>
    <i r="2">
      <x v="23"/>
    </i>
    <i r="3">
      <x v="49"/>
    </i>
    <i r="2">
      <x v="26"/>
    </i>
    <i r="3">
      <x v="49"/>
    </i>
    <i r="1">
      <x v="1"/>
    </i>
    <i r="2">
      <x v="4"/>
    </i>
    <i r="3">
      <x v="2"/>
    </i>
    <i r="3">
      <x v="4"/>
    </i>
    <i r="3">
      <x v="7"/>
    </i>
    <i r="3">
      <x v="14"/>
    </i>
    <i r="3">
      <x v="16"/>
    </i>
    <i r="3">
      <x v="39"/>
    </i>
    <i r="3">
      <x v="46"/>
    </i>
    <i r="3">
      <x v="56"/>
    </i>
    <i r="2">
      <x v="5"/>
    </i>
    <i r="3">
      <x v="2"/>
    </i>
    <i r="3">
      <x v="6"/>
    </i>
    <i r="3">
      <x v="14"/>
    </i>
    <i r="3">
      <x v="39"/>
    </i>
    <i r="3">
      <x v="44"/>
    </i>
    <i r="3">
      <x v="46"/>
    </i>
    <i r="3">
      <x v="47"/>
    </i>
    <i r="3">
      <x v="49"/>
    </i>
    <i r="3">
      <x v="56"/>
    </i>
    <i r="2">
      <x v="6"/>
    </i>
    <i r="3">
      <x v="1"/>
    </i>
    <i r="3">
      <x v="11"/>
    </i>
    <i r="3">
      <x v="17"/>
    </i>
    <i r="3">
      <x v="32"/>
    </i>
    <i r="3">
      <x v="38"/>
    </i>
    <i r="3">
      <x v="39"/>
    </i>
    <i r="3">
      <x v="42"/>
    </i>
    <i r="3">
      <x v="44"/>
    </i>
    <i r="3">
      <x v="45"/>
    </i>
    <i r="3">
      <x v="47"/>
    </i>
    <i r="3">
      <x v="56"/>
    </i>
    <i r="2">
      <x v="7"/>
    </i>
    <i r="3">
      <x/>
    </i>
    <i r="3">
      <x v="5"/>
    </i>
    <i r="3">
      <x v="12"/>
    </i>
    <i r="3">
      <x v="35"/>
    </i>
    <i r="3">
      <x v="48"/>
    </i>
    <i r="3">
      <x v="51"/>
    </i>
    <i r="3">
      <x v="52"/>
    </i>
    <i r="2">
      <x v="8"/>
    </i>
    <i r="3">
      <x/>
    </i>
    <i r="3">
      <x v="3"/>
    </i>
    <i r="3">
      <x v="5"/>
    </i>
    <i r="3">
      <x v="12"/>
    </i>
    <i r="3">
      <x v="40"/>
    </i>
    <i r="3">
      <x v="48"/>
    </i>
    <i r="3">
      <x v="49"/>
    </i>
    <i r="3">
      <x v="52"/>
    </i>
    <i r="2">
      <x v="9"/>
    </i>
    <i r="3">
      <x/>
    </i>
    <i r="3">
      <x v="5"/>
    </i>
    <i r="3">
      <x v="10"/>
    </i>
    <i r="3">
      <x v="12"/>
    </i>
    <i r="3">
      <x v="30"/>
    </i>
    <i r="3">
      <x v="40"/>
    </i>
    <i r="3">
      <x v="48"/>
    </i>
    <i r="3">
      <x v="49"/>
    </i>
    <i r="2">
      <x v="10"/>
    </i>
    <i r="3">
      <x/>
    </i>
    <i r="3">
      <x v="5"/>
    </i>
    <i r="3">
      <x v="12"/>
    </i>
    <i r="3">
      <x v="30"/>
    </i>
    <i r="3">
      <x v="40"/>
    </i>
    <i r="3">
      <x v="48"/>
    </i>
    <i r="3">
      <x v="49"/>
    </i>
    <i r="3">
      <x v="52"/>
    </i>
    <i r="2">
      <x v="11"/>
    </i>
    <i r="3">
      <x v="12"/>
    </i>
    <i r="3">
      <x v="13"/>
    </i>
    <i r="3">
      <x v="26"/>
    </i>
    <i r="3">
      <x v="27"/>
    </i>
    <i r="3">
      <x v="29"/>
    </i>
    <i r="3">
      <x v="32"/>
    </i>
    <i r="3">
      <x v="34"/>
    </i>
    <i r="3">
      <x v="50"/>
    </i>
    <i r="3">
      <x v="52"/>
    </i>
    <i r="3">
      <x v="53"/>
    </i>
    <i r="3">
      <x v="57"/>
    </i>
    <i r="2">
      <x v="22"/>
    </i>
    <i r="3">
      <x v="49"/>
    </i>
    <i r="1">
      <x v="2"/>
    </i>
    <i r="2">
      <x v="13"/>
    </i>
    <i r="3">
      <x v="1"/>
    </i>
    <i r="3">
      <x v="9"/>
    </i>
    <i r="3">
      <x v="19"/>
    </i>
    <i r="3">
      <x v="27"/>
    </i>
    <i r="3">
      <x v="31"/>
    </i>
    <i r="3">
      <x v="46"/>
    </i>
    <i r="3">
      <x v="49"/>
    </i>
    <i r="3">
      <x v="52"/>
    </i>
    <i r="3">
      <x v="58"/>
    </i>
    <i r="2">
      <x v="18"/>
    </i>
    <i r="3">
      <x v="49"/>
    </i>
    <i r="2">
      <x v="24"/>
    </i>
    <i r="3">
      <x v="36"/>
    </i>
    <i r="2">
      <x v="25"/>
    </i>
    <i r="3">
      <x v="49"/>
    </i>
    <i r="1">
      <x v="3"/>
    </i>
    <i>
      <x v="2"/>
    </i>
    <i r="1">
      <x v="4"/>
    </i>
    <i r="2">
      <x v="21"/>
    </i>
    <i r="3">
      <x v="49"/>
    </i>
    <i r="2">
      <x v="27"/>
    </i>
    <i r="3">
      <x v="49"/>
    </i>
    <i r="2">
      <x v="28"/>
    </i>
    <i r="3">
      <x v="49"/>
    </i>
    <i>
      <x v="3"/>
    </i>
    <i r="1">
      <x/>
    </i>
    <i r="2">
      <x v="14"/>
    </i>
    <i r="3">
      <x v="20"/>
    </i>
    <i r="3">
      <x v="23"/>
    </i>
    <i r="3">
      <x v="44"/>
    </i>
    <i>
      <x v="4"/>
    </i>
    <i r="1">
      <x v="2"/>
    </i>
    <i r="2">
      <x v="16"/>
    </i>
    <i r="3">
      <x v="49"/>
    </i>
    <i r="2">
      <x v="17"/>
    </i>
    <i r="3">
      <x v="4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ax. von Schicht_ND_FINAL" fld="49" subtotal="max" baseField="22" baseItem="20" numFmtId="1"/>
    <dataField name="Summe von Geb GWP-total" fld="99" baseField="0" baseItem="0"/>
    <dataField name="Summe von Geb GWP-fossil" fld="100" baseField="0" baseItem="0"/>
    <dataField name="Summe von Geb GWP-biogenic" fld="101" baseField="0" baseItem="0"/>
    <dataField name="Max. von Schichtsortierung_inh" fld="46" subtotal="max" baseField="15" baseItem="25"/>
  </dataFields>
  <formats count="70">
    <format dxfId="69">
      <pivotArea outline="0" collapsedLevelsAreSubtotals="1" fieldPosition="0"/>
    </format>
    <format dxfId="68">
      <pivotArea collapsedLevelsAreSubtotals="1" fieldPosition="0">
        <references count="2">
          <reference field="4294967294" count="1" selected="0">
            <x v="4"/>
          </reference>
          <reference field="44" count="1">
            <x v="1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6">
      <pivotArea collapsedLevelsAreSubtotals="1" fieldPosition="0">
        <references count="3">
          <reference field="4294967294" count="1" selected="0">
            <x v="4"/>
          </reference>
          <reference field="32" count="1">
            <x v="0"/>
          </reference>
          <reference field="44" count="1" selected="0">
            <x v="1"/>
          </reference>
        </references>
      </pivotArea>
    </format>
    <format dxfId="65">
      <pivotArea collapsedLevelsAreSubtotals="1" fieldPosition="0">
        <references count="4">
          <reference field="4294967294" count="1" selected="0">
            <x v="4"/>
          </reference>
          <reference field="15" count="1">
            <x v="0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64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0"/>
          </reference>
          <reference field="22" count="7">
            <x v="16"/>
            <x v="25"/>
            <x v="33"/>
            <x v="35"/>
            <x v="41"/>
            <x v="43"/>
            <x v="54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63">
      <pivotArea collapsedLevelsAreSubtotals="1" fieldPosition="0">
        <references count="4">
          <reference field="4294967294" count="1" selected="0">
            <x v="4"/>
          </reference>
          <reference field="15" count="1">
            <x v="1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62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"/>
          </reference>
          <reference field="22" count="7">
            <x v="28"/>
            <x v="35"/>
            <x v="41"/>
            <x v="44"/>
            <x v="47"/>
            <x v="49"/>
            <x v="54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4"/>
          </reference>
          <reference field="15" count="1">
            <x v="2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60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"/>
          </reference>
          <reference field="22" count="8">
            <x v="8"/>
            <x v="32"/>
            <x v="33"/>
            <x v="37"/>
            <x v="43"/>
            <x v="44"/>
            <x v="47"/>
            <x v="54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4"/>
          </reference>
          <reference field="15" count="1">
            <x v="3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8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3"/>
          </reference>
          <reference field="22" count="9">
            <x v="8"/>
            <x v="18"/>
            <x v="24"/>
            <x v="26"/>
            <x v="33"/>
            <x v="35"/>
            <x v="43"/>
            <x v="47"/>
            <x v="55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7">
      <pivotArea collapsedLevelsAreSubtotals="1" fieldPosition="0">
        <references count="4">
          <reference field="4294967294" count="1" selected="0">
            <x v="4"/>
          </reference>
          <reference field="15" count="1">
            <x v="15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6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5"/>
          </reference>
          <reference field="22" count="1">
            <x v="49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4"/>
          </reference>
          <reference field="15" count="1">
            <x v="19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4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9"/>
          </reference>
          <reference field="22" count="1">
            <x v="21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4"/>
          </reference>
          <reference field="15" count="1">
            <x v="20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2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0"/>
          </reference>
          <reference field="22" count="1">
            <x v="49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4"/>
          </reference>
          <reference field="15" count="1">
            <x v="23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50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3"/>
          </reference>
          <reference field="22" count="1">
            <x v="49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4"/>
          </reference>
          <reference field="15" count="1">
            <x v="26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48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6"/>
          </reference>
          <reference field="22" count="1">
            <x v="49"/>
          </reference>
          <reference field="32" count="1" selected="0">
            <x v="0"/>
          </reference>
          <reference field="44" count="1" selected="0">
            <x v="1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4"/>
          </reference>
          <reference field="32" count="1">
            <x v="1"/>
          </reference>
          <reference field="44" count="1" selected="0">
            <x v="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4"/>
          </reference>
          <reference field="15" count="1">
            <x v="4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5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4"/>
          </reference>
          <reference field="22" count="8">
            <x v="2"/>
            <x v="4"/>
            <x v="7"/>
            <x v="14"/>
            <x v="16"/>
            <x v="39"/>
            <x v="46"/>
            <x v="56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4">
      <pivotArea collapsedLevelsAreSubtotals="1" fieldPosition="0">
        <references count="4">
          <reference field="4294967294" count="1" selected="0">
            <x v="4"/>
          </reference>
          <reference field="15" count="1">
            <x v="5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3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5"/>
          </reference>
          <reference field="22" count="9">
            <x v="2"/>
            <x v="6"/>
            <x v="14"/>
            <x v="39"/>
            <x v="44"/>
            <x v="46"/>
            <x v="47"/>
            <x v="49"/>
            <x v="56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2">
      <pivotArea collapsedLevelsAreSubtotals="1" fieldPosition="0">
        <references count="4">
          <reference field="4294967294" count="1" selected="0">
            <x v="4"/>
          </reference>
          <reference field="15" count="1">
            <x v="6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1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6"/>
          </reference>
          <reference field="22" count="11">
            <x v="1"/>
            <x v="11"/>
            <x v="17"/>
            <x v="32"/>
            <x v="38"/>
            <x v="39"/>
            <x v="42"/>
            <x v="44"/>
            <x v="45"/>
            <x v="47"/>
            <x v="56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40">
      <pivotArea collapsedLevelsAreSubtotals="1" fieldPosition="0">
        <references count="4">
          <reference field="4294967294" count="1" selected="0">
            <x v="4"/>
          </reference>
          <reference field="15" count="1">
            <x v="7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9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7"/>
          </reference>
          <reference field="22" count="7">
            <x v="0"/>
            <x v="5"/>
            <x v="12"/>
            <x v="35"/>
            <x v="48"/>
            <x v="51"/>
            <x v="52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8">
      <pivotArea collapsedLevelsAreSubtotals="1" fieldPosition="0">
        <references count="4">
          <reference field="4294967294" count="1" selected="0">
            <x v="4"/>
          </reference>
          <reference field="15" count="1">
            <x v="8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7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8"/>
          </reference>
          <reference field="22" count="8">
            <x v="0"/>
            <x v="3"/>
            <x v="5"/>
            <x v="12"/>
            <x v="40"/>
            <x v="48"/>
            <x v="49"/>
            <x v="52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6">
      <pivotArea collapsedLevelsAreSubtotals="1" fieldPosition="0">
        <references count="4">
          <reference field="4294967294" count="1" selected="0">
            <x v="4"/>
          </reference>
          <reference field="15" count="1">
            <x v="9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5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9"/>
          </reference>
          <reference field="22" count="8">
            <x v="0"/>
            <x v="5"/>
            <x v="10"/>
            <x v="12"/>
            <x v="30"/>
            <x v="40"/>
            <x v="48"/>
            <x v="49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4">
      <pivotArea collapsedLevelsAreSubtotals="1" fieldPosition="0">
        <references count="4">
          <reference field="4294967294" count="1" selected="0">
            <x v="4"/>
          </reference>
          <reference field="15" count="1">
            <x v="10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3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0"/>
          </reference>
          <reference field="22" count="8">
            <x v="0"/>
            <x v="5"/>
            <x v="12"/>
            <x v="30"/>
            <x v="40"/>
            <x v="48"/>
            <x v="49"/>
            <x v="52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2">
      <pivotArea collapsedLevelsAreSubtotals="1" fieldPosition="0">
        <references count="4">
          <reference field="4294967294" count="1" selected="0">
            <x v="4"/>
          </reference>
          <reference field="15" count="1">
            <x v="11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1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1"/>
          </reference>
          <reference field="22" count="11">
            <x v="12"/>
            <x v="13"/>
            <x v="26"/>
            <x v="27"/>
            <x v="29"/>
            <x v="32"/>
            <x v="34"/>
            <x v="50"/>
            <x v="52"/>
            <x v="53"/>
            <x v="57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30">
      <pivotArea collapsedLevelsAreSubtotals="1" fieldPosition="0">
        <references count="4">
          <reference field="4294967294" count="1" selected="0">
            <x v="4"/>
          </reference>
          <reference field="15" count="1">
            <x v="22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29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2"/>
          </reference>
          <reference field="22" count="1">
            <x v="49"/>
          </reference>
          <reference field="32" count="1" selected="0">
            <x v="1"/>
          </reference>
          <reference field="44" count="1" selected="0">
            <x v="1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4"/>
          </reference>
          <reference field="32" count="1">
            <x v="2"/>
          </reference>
          <reference field="44" count="1" selected="0">
            <x v="1"/>
          </reference>
        </references>
      </pivotArea>
    </format>
    <format dxfId="27">
      <pivotArea collapsedLevelsAreSubtotals="1" fieldPosition="0">
        <references count="4">
          <reference field="4294967294" count="1" selected="0">
            <x v="4"/>
          </reference>
          <reference field="15" count="1">
            <x v="13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6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3"/>
          </reference>
          <reference field="22" count="9">
            <x v="1"/>
            <x v="9"/>
            <x v="19"/>
            <x v="27"/>
            <x v="31"/>
            <x v="46"/>
            <x v="49"/>
            <x v="52"/>
            <x v="58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5">
      <pivotArea collapsedLevelsAreSubtotals="1" fieldPosition="0">
        <references count="4">
          <reference field="4294967294" count="1" selected="0">
            <x v="4"/>
          </reference>
          <reference field="15" count="1">
            <x v="18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4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8"/>
          </reference>
          <reference field="22" count="1">
            <x v="49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3">
      <pivotArea collapsedLevelsAreSubtotals="1" fieldPosition="0">
        <references count="4">
          <reference field="4294967294" count="1" selected="0">
            <x v="4"/>
          </reference>
          <reference field="15" count="1">
            <x v="24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2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4"/>
          </reference>
          <reference field="22" count="1">
            <x v="36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1">
      <pivotArea collapsedLevelsAreSubtotals="1" fieldPosition="0">
        <references count="4">
          <reference field="4294967294" count="1" selected="0">
            <x v="4"/>
          </reference>
          <reference field="15" count="1">
            <x v="25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20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5"/>
          </reference>
          <reference field="22" count="1">
            <x v="49"/>
          </reference>
          <reference field="32" count="1" selected="0">
            <x v="2"/>
          </reference>
          <reference field="44" count="1" selected="0">
            <x v="1"/>
          </reference>
        </references>
      </pivotArea>
    </format>
    <format dxfId="19">
      <pivotArea collapsedLevelsAreSubtotals="1" fieldPosition="0">
        <references count="3">
          <reference field="4294967294" count="1" selected="0">
            <x v="4"/>
          </reference>
          <reference field="32" count="1">
            <x v="3"/>
          </reference>
          <reference field="44" count="1" selected="0">
            <x v="1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4"/>
          </reference>
          <reference field="44" count="1">
            <x v="2"/>
          </reference>
        </references>
      </pivotArea>
    </format>
    <format dxfId="17">
      <pivotArea collapsedLevelsAreSubtotals="1" fieldPosition="0">
        <references count="3">
          <reference field="4294967294" count="1" selected="0">
            <x v="4"/>
          </reference>
          <reference field="32" count="1">
            <x v="4"/>
          </reference>
          <reference field="44" count="1" selected="0">
            <x v="2"/>
          </reference>
        </references>
      </pivotArea>
    </format>
    <format dxfId="16">
      <pivotArea collapsedLevelsAreSubtotals="1" fieldPosition="0">
        <references count="4">
          <reference field="4294967294" count="1" selected="0">
            <x v="4"/>
          </reference>
          <reference field="15" count="1">
            <x v="21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5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1"/>
          </reference>
          <reference field="22" count="1">
            <x v="49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4">
      <pivotArea collapsedLevelsAreSubtotals="1" fieldPosition="0">
        <references count="4">
          <reference field="4294967294" count="1" selected="0">
            <x v="4"/>
          </reference>
          <reference field="15" count="1">
            <x v="27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3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7"/>
          </reference>
          <reference field="22" count="1">
            <x v="49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2">
      <pivotArea collapsedLevelsAreSubtotals="1" fieldPosition="0">
        <references count="4">
          <reference field="4294967294" count="1" selected="0">
            <x v="4"/>
          </reference>
          <reference field="15" count="1">
            <x v="28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1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28"/>
          </reference>
          <reference field="22" count="1">
            <x v="49"/>
          </reference>
          <reference field="32" count="1" selected="0">
            <x v="4"/>
          </reference>
          <reference field="44" count="1" selected="0">
            <x v="2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4"/>
          </reference>
          <reference field="44" count="1">
            <x v="3"/>
          </reference>
        </references>
      </pivotArea>
    </format>
    <format dxfId="9">
      <pivotArea collapsedLevelsAreSubtotals="1" fieldPosition="0">
        <references count="3">
          <reference field="4294967294" count="1" selected="0">
            <x v="4"/>
          </reference>
          <reference field="32" count="1">
            <x v="0"/>
          </reference>
          <reference field="44" count="1" selected="0">
            <x v="3"/>
          </reference>
        </references>
      </pivotArea>
    </format>
    <format dxfId="8">
      <pivotArea collapsedLevelsAreSubtotals="1" fieldPosition="0">
        <references count="4">
          <reference field="4294967294" count="1" selected="0">
            <x v="4"/>
          </reference>
          <reference field="15" count="1">
            <x v="14"/>
          </reference>
          <reference field="32" count="1" selected="0">
            <x v="0"/>
          </reference>
          <reference field="44" count="1" selected="0">
            <x v="3"/>
          </reference>
        </references>
      </pivotArea>
    </format>
    <format dxfId="7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4"/>
          </reference>
          <reference field="22" count="3">
            <x v="20"/>
            <x v="23"/>
            <x v="44"/>
          </reference>
          <reference field="32" count="1" selected="0">
            <x v="0"/>
          </reference>
          <reference field="44" count="1" selected="0">
            <x v="3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4"/>
          </reference>
          <reference field="44" count="1">
            <x v="4"/>
          </reference>
        </references>
      </pivotArea>
    </format>
    <format dxfId="5">
      <pivotArea collapsedLevelsAreSubtotals="1" fieldPosition="0">
        <references count="3">
          <reference field="4294967294" count="1" selected="0">
            <x v="4"/>
          </reference>
          <reference field="32" count="1">
            <x v="2"/>
          </reference>
          <reference field="44" count="1" selected="0">
            <x v="4"/>
          </reference>
        </references>
      </pivotArea>
    </format>
    <format dxfId="4">
      <pivotArea collapsedLevelsAreSubtotals="1" fieldPosition="0">
        <references count="4">
          <reference field="4294967294" count="1" selected="0">
            <x v="4"/>
          </reference>
          <reference field="15" count="1">
            <x v="16"/>
          </reference>
          <reference field="32" count="1" selected="0">
            <x v="2"/>
          </reference>
          <reference field="44" count="1" selected="0">
            <x v="4"/>
          </reference>
        </references>
      </pivotArea>
    </format>
    <format dxfId="3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6"/>
          </reference>
          <reference field="22" count="1">
            <x v="49"/>
          </reference>
          <reference field="32" count="1" selected="0">
            <x v="2"/>
          </reference>
          <reference field="44" count="1" selected="0">
            <x v="4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4"/>
          </reference>
          <reference field="15" count="1">
            <x v="17"/>
          </reference>
          <reference field="32" count="1" selected="0">
            <x v="2"/>
          </reference>
          <reference field="44" count="1" selected="0">
            <x v="4"/>
          </reference>
        </references>
      </pivotArea>
    </format>
    <format dxfId="1">
      <pivotArea collapsedLevelsAreSubtotals="1" fieldPosition="0">
        <references count="5">
          <reference field="4294967294" count="1" selected="0">
            <x v="4"/>
          </reference>
          <reference field="15" count="1" selected="0">
            <x v="17"/>
          </reference>
          <reference field="22" count="1">
            <x v="49"/>
          </reference>
          <reference field="32" count="1" selected="0">
            <x v="2"/>
          </reference>
          <reference field="44" count="1" selected="0">
            <x v="4"/>
          </reference>
        </references>
      </pivotArea>
    </format>
    <format dxfId="0">
      <pivotArea field="44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</formats>
  <chartFormats count="185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6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7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8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9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0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1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2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3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4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5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6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7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8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9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0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1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2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3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4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5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6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7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2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1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2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3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4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5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6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7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8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39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0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1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2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3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4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5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6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7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8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49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0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1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2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3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4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5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6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7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8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59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0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6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7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8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9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0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1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3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4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5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6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7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8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19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0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1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2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3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4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5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6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7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8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29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0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1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2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3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4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5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6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7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8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39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0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1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4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5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6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7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8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49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0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1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2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3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4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5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6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7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8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2"/>
          </reference>
          <reference field="22" count="1" selected="0">
            <x v="59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0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6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7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8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9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0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1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2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3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4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5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6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7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8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19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0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1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2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3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4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5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6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7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8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29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0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1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2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3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4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5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6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7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8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3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1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2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3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4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5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6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7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49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0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1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2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5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6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7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8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3"/>
          </reference>
          <reference field="22" count="1" selected="0">
            <x v="59"/>
          </reference>
        </references>
      </pivotArea>
    </chartFormat>
    <chartFormat chart="0" format="2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65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D08E1-0369-42BC-B08F-15567E79544B}">
  <sheetPr codeName="Tabelle2"/>
  <dimension ref="A1:DB147"/>
  <sheetViews>
    <sheetView topLeftCell="BX1" workbookViewId="0">
      <selection activeCell="DC4" sqref="DC4"/>
    </sheetView>
  </sheetViews>
  <sheetFormatPr baseColWidth="10" defaultRowHeight="15" x14ac:dyDescent="0.25"/>
  <cols>
    <col min="32" max="32" width="76.5703125" bestFit="1" customWidth="1"/>
  </cols>
  <sheetData>
    <row r="1" spans="1:106" x14ac:dyDescent="0.25">
      <c r="C1" t="s">
        <v>102</v>
      </c>
      <c r="G1" t="s">
        <v>0</v>
      </c>
      <c r="J1" t="s">
        <v>0</v>
      </c>
      <c r="K1" t="s">
        <v>0</v>
      </c>
      <c r="L1" t="s">
        <v>0</v>
      </c>
      <c r="M1" t="s">
        <v>103</v>
      </c>
      <c r="N1" t="s">
        <v>102</v>
      </c>
      <c r="T1" t="s">
        <v>0</v>
      </c>
      <c r="U1" t="s">
        <v>1</v>
      </c>
      <c r="Y1" t="s">
        <v>1</v>
      </c>
      <c r="AI1" t="s">
        <v>104</v>
      </c>
      <c r="AJ1" t="s">
        <v>105</v>
      </c>
      <c r="AK1" t="s">
        <v>106</v>
      </c>
      <c r="AL1" t="s">
        <v>107</v>
      </c>
      <c r="AM1" t="s">
        <v>108</v>
      </c>
      <c r="AN1" t="s">
        <v>109</v>
      </c>
      <c r="AO1" t="s">
        <v>110</v>
      </c>
      <c r="AX1" t="s">
        <v>102</v>
      </c>
      <c r="AY1" t="s">
        <v>102</v>
      </c>
      <c r="BA1" t="s">
        <v>102</v>
      </c>
      <c r="BB1" t="s">
        <v>102</v>
      </c>
      <c r="BC1" t="s">
        <v>111</v>
      </c>
      <c r="BD1" t="s">
        <v>111</v>
      </c>
      <c r="BE1" t="s">
        <v>111</v>
      </c>
      <c r="BF1" t="s">
        <v>111</v>
      </c>
      <c r="BG1" t="s">
        <v>112</v>
      </c>
      <c r="BH1" t="s">
        <v>112</v>
      </c>
      <c r="BI1" t="s">
        <v>112</v>
      </c>
      <c r="BJ1" t="s">
        <v>113</v>
      </c>
      <c r="BK1" t="s">
        <v>114</v>
      </c>
      <c r="BL1" t="s">
        <v>114</v>
      </c>
      <c r="BM1" t="s">
        <v>114</v>
      </c>
      <c r="BN1" t="s">
        <v>114</v>
      </c>
      <c r="BO1" t="s">
        <v>114</v>
      </c>
      <c r="BP1" t="s">
        <v>114</v>
      </c>
      <c r="BQ1" t="s">
        <v>115</v>
      </c>
      <c r="BR1" t="s">
        <v>115</v>
      </c>
      <c r="BS1" t="s">
        <v>115</v>
      </c>
      <c r="BT1" t="s">
        <v>116</v>
      </c>
      <c r="BU1" t="s">
        <v>117</v>
      </c>
      <c r="BV1" t="s">
        <v>118</v>
      </c>
      <c r="BW1" t="s">
        <v>119</v>
      </c>
      <c r="CA1" t="s">
        <v>114</v>
      </c>
      <c r="CB1" t="s">
        <v>114</v>
      </c>
      <c r="CC1" t="s">
        <v>114</v>
      </c>
      <c r="CD1" t="s">
        <v>114</v>
      </c>
      <c r="CE1" t="s">
        <v>114</v>
      </c>
      <c r="CF1" t="s">
        <v>114</v>
      </c>
      <c r="CG1" t="s">
        <v>115</v>
      </c>
      <c r="CH1" t="s">
        <v>115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P1" t="s">
        <v>114</v>
      </c>
      <c r="CQ1" t="s">
        <v>114</v>
      </c>
      <c r="CR1" t="s">
        <v>114</v>
      </c>
      <c r="CS1" t="s">
        <v>114</v>
      </c>
      <c r="CT1" t="s">
        <v>114</v>
      </c>
      <c r="CU1" t="s">
        <v>114</v>
      </c>
      <c r="CV1" t="s">
        <v>115</v>
      </c>
      <c r="CW1" t="s">
        <v>115</v>
      </c>
      <c r="CX1" t="s">
        <v>115</v>
      </c>
      <c r="CY1" t="s">
        <v>116</v>
      </c>
      <c r="CZ1" t="s">
        <v>117</v>
      </c>
      <c r="DA1" t="s">
        <v>118</v>
      </c>
      <c r="DB1" t="s">
        <v>119</v>
      </c>
    </row>
    <row r="2" spans="1:106" x14ac:dyDescent="0.25">
      <c r="A2" t="s">
        <v>121</v>
      </c>
      <c r="B2" t="s">
        <v>122</v>
      </c>
      <c r="C2" t="s">
        <v>123</v>
      </c>
      <c r="D2" t="s">
        <v>124</v>
      </c>
      <c r="E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O2" t="s">
        <v>131</v>
      </c>
      <c r="P2" t="s">
        <v>132</v>
      </c>
      <c r="Q2" t="s">
        <v>133</v>
      </c>
      <c r="T2" t="s">
        <v>134</v>
      </c>
      <c r="U2" t="s">
        <v>135</v>
      </c>
      <c r="V2" t="s">
        <v>136</v>
      </c>
      <c r="W2" t="s">
        <v>137</v>
      </c>
      <c r="X2" t="s">
        <v>138</v>
      </c>
      <c r="Y2" t="s">
        <v>139</v>
      </c>
      <c r="Z2" t="s">
        <v>140</v>
      </c>
      <c r="AA2" t="s">
        <v>141</v>
      </c>
      <c r="AB2" t="s">
        <v>140</v>
      </c>
      <c r="AC2" t="s">
        <v>141</v>
      </c>
      <c r="AD2" t="s">
        <v>140</v>
      </c>
      <c r="AE2" t="s">
        <v>141</v>
      </c>
      <c r="AF2" t="s">
        <v>142</v>
      </c>
      <c r="AG2" t="s">
        <v>143</v>
      </c>
      <c r="AH2" t="s">
        <v>144</v>
      </c>
      <c r="AP2" t="s">
        <v>2</v>
      </c>
      <c r="AQ2" t="s">
        <v>145</v>
      </c>
      <c r="AR2" t="s">
        <v>146</v>
      </c>
      <c r="AS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D2" t="s">
        <v>154</v>
      </c>
      <c r="BF2" t="s">
        <v>154</v>
      </c>
      <c r="BX2" t="s">
        <v>155</v>
      </c>
      <c r="BY2" t="s">
        <v>156</v>
      </c>
      <c r="BZ2" t="s">
        <v>157</v>
      </c>
    </row>
    <row r="3" spans="1:106" x14ac:dyDescent="0.25">
      <c r="A3" t="s">
        <v>158</v>
      </c>
      <c r="B3" t="s">
        <v>159</v>
      </c>
      <c r="C3" t="s">
        <v>160</v>
      </c>
      <c r="D3" t="s">
        <v>161</v>
      </c>
      <c r="E3" t="s">
        <v>162</v>
      </c>
      <c r="F3" t="s">
        <v>163</v>
      </c>
      <c r="G3" t="s">
        <v>164</v>
      </c>
      <c r="H3" t="s">
        <v>165</v>
      </c>
      <c r="I3" t="s">
        <v>166</v>
      </c>
      <c r="J3" t="s">
        <v>167</v>
      </c>
      <c r="K3" t="s">
        <v>168</v>
      </c>
      <c r="L3" t="s">
        <v>169</v>
      </c>
      <c r="M3" t="s">
        <v>170</v>
      </c>
      <c r="N3" t="s">
        <v>171</v>
      </c>
      <c r="O3" t="s">
        <v>172</v>
      </c>
      <c r="P3" t="s">
        <v>173</v>
      </c>
      <c r="Q3" t="s">
        <v>174</v>
      </c>
      <c r="R3" t="s">
        <v>175</v>
      </c>
      <c r="S3" t="s">
        <v>176</v>
      </c>
      <c r="T3" t="s">
        <v>177</v>
      </c>
      <c r="U3" t="s">
        <v>178</v>
      </c>
      <c r="V3" t="s">
        <v>179</v>
      </c>
      <c r="W3" t="s">
        <v>180</v>
      </c>
      <c r="X3" t="s">
        <v>181</v>
      </c>
      <c r="Y3" t="s">
        <v>182</v>
      </c>
      <c r="Z3" t="s">
        <v>183</v>
      </c>
      <c r="AA3" t="s">
        <v>184</v>
      </c>
      <c r="AB3" t="s">
        <v>185</v>
      </c>
      <c r="AC3" t="s">
        <v>186</v>
      </c>
      <c r="AD3" t="s">
        <v>187</v>
      </c>
      <c r="AE3" t="s">
        <v>188</v>
      </c>
      <c r="AF3" t="s">
        <v>2</v>
      </c>
      <c r="AG3" t="s">
        <v>189</v>
      </c>
      <c r="AH3" t="s">
        <v>190</v>
      </c>
      <c r="AI3" t="s">
        <v>191</v>
      </c>
      <c r="AJ3" t="s">
        <v>192</v>
      </c>
      <c r="AK3" t="s">
        <v>193</v>
      </c>
      <c r="AL3" t="s">
        <v>194</v>
      </c>
      <c r="AM3" t="s">
        <v>195</v>
      </c>
      <c r="AN3" t="s">
        <v>196</v>
      </c>
      <c r="AO3" t="s">
        <v>197</v>
      </c>
      <c r="AP3" t="s">
        <v>198</v>
      </c>
      <c r="AQ3" t="s">
        <v>199</v>
      </c>
      <c r="AR3" t="s">
        <v>200</v>
      </c>
      <c r="AS3" t="s">
        <v>201</v>
      </c>
      <c r="AT3" t="s">
        <v>202</v>
      </c>
      <c r="AU3" t="s">
        <v>203</v>
      </c>
      <c r="AV3" t="s">
        <v>204</v>
      </c>
      <c r="AW3" t="s">
        <v>205</v>
      </c>
      <c r="AX3" t="s">
        <v>206</v>
      </c>
      <c r="AY3" t="s">
        <v>207</v>
      </c>
      <c r="AZ3" t="s">
        <v>208</v>
      </c>
      <c r="BA3" t="s">
        <v>209</v>
      </c>
      <c r="BB3" t="s">
        <v>210</v>
      </c>
      <c r="BC3" t="s">
        <v>211</v>
      </c>
      <c r="BD3" t="s">
        <v>211</v>
      </c>
      <c r="BE3" t="s">
        <v>212</v>
      </c>
      <c r="BF3" t="s">
        <v>212</v>
      </c>
      <c r="BG3" t="s">
        <v>213</v>
      </c>
      <c r="BH3" t="s">
        <v>214</v>
      </c>
      <c r="BI3" t="s">
        <v>215</v>
      </c>
      <c r="BJ3" t="s">
        <v>216</v>
      </c>
      <c r="BK3" t="s">
        <v>217</v>
      </c>
      <c r="BL3" t="s">
        <v>218</v>
      </c>
      <c r="BM3" t="s">
        <v>219</v>
      </c>
      <c r="BN3" t="s">
        <v>220</v>
      </c>
      <c r="BO3" t="s">
        <v>221</v>
      </c>
      <c r="BP3" t="s">
        <v>222</v>
      </c>
      <c r="BQ3" t="s">
        <v>223</v>
      </c>
      <c r="BR3" t="s">
        <v>224</v>
      </c>
      <c r="BS3" t="s">
        <v>225</v>
      </c>
      <c r="BT3" t="s">
        <v>226</v>
      </c>
      <c r="BU3" t="s">
        <v>227</v>
      </c>
      <c r="BV3" t="s">
        <v>228</v>
      </c>
      <c r="BW3" t="s">
        <v>229</v>
      </c>
      <c r="BX3" t="s">
        <v>230</v>
      </c>
      <c r="BY3" t="s">
        <v>231</v>
      </c>
      <c r="BZ3" t="s">
        <v>232</v>
      </c>
      <c r="CA3" t="s">
        <v>233</v>
      </c>
      <c r="CB3" t="s">
        <v>234</v>
      </c>
      <c r="CC3" t="s">
        <v>235</v>
      </c>
      <c r="CD3" t="s">
        <v>236</v>
      </c>
      <c r="CE3" t="s">
        <v>237</v>
      </c>
      <c r="CF3" t="s">
        <v>238</v>
      </c>
      <c r="CG3" t="s">
        <v>239</v>
      </c>
      <c r="CH3" t="s">
        <v>240</v>
      </c>
      <c r="CI3" t="s">
        <v>241</v>
      </c>
      <c r="CJ3" t="s">
        <v>242</v>
      </c>
      <c r="CK3" t="s">
        <v>243</v>
      </c>
      <c r="CL3" t="s">
        <v>244</v>
      </c>
      <c r="CM3" t="s">
        <v>245</v>
      </c>
      <c r="CN3" t="s">
        <v>246</v>
      </c>
      <c r="CO3" t="s">
        <v>247</v>
      </c>
      <c r="CP3" t="s">
        <v>248</v>
      </c>
      <c r="CQ3" t="s">
        <v>249</v>
      </c>
      <c r="CR3" t="s">
        <v>250</v>
      </c>
      <c r="CS3" t="s">
        <v>251</v>
      </c>
      <c r="CT3" t="s">
        <v>252</v>
      </c>
      <c r="CU3" t="s">
        <v>253</v>
      </c>
      <c r="CV3" t="s">
        <v>254</v>
      </c>
      <c r="CW3" t="s">
        <v>255</v>
      </c>
      <c r="CX3" t="s">
        <v>256</v>
      </c>
      <c r="CY3" t="s">
        <v>257</v>
      </c>
      <c r="CZ3" t="s">
        <v>258</v>
      </c>
      <c r="DA3" t="s">
        <v>259</v>
      </c>
      <c r="DB3" t="s">
        <v>260</v>
      </c>
    </row>
    <row r="4" spans="1:106" x14ac:dyDescent="0.25">
      <c r="A4">
        <v>25868</v>
      </c>
      <c r="B4" t="s">
        <v>284</v>
      </c>
      <c r="C4">
        <v>50</v>
      </c>
      <c r="D4" t="s">
        <v>261</v>
      </c>
      <c r="E4">
        <v>2</v>
      </c>
      <c r="F4" t="s">
        <v>167</v>
      </c>
      <c r="G4">
        <v>31799.16</v>
      </c>
      <c r="H4" t="s">
        <v>0</v>
      </c>
      <c r="I4">
        <v>4</v>
      </c>
      <c r="J4">
        <v>31799.16</v>
      </c>
      <c r="L4">
        <v>92117.401014000003</v>
      </c>
      <c r="O4">
        <v>796822</v>
      </c>
      <c r="P4" t="s">
        <v>3</v>
      </c>
      <c r="Q4">
        <v>102</v>
      </c>
      <c r="R4" t="s">
        <v>262</v>
      </c>
      <c r="S4" t="s">
        <v>263</v>
      </c>
      <c r="T4">
        <v>10805.1245</v>
      </c>
      <c r="W4" t="s">
        <v>4</v>
      </c>
      <c r="Y4">
        <v>0.06</v>
      </c>
      <c r="AF4" t="s">
        <v>5</v>
      </c>
      <c r="AG4" t="s">
        <v>6</v>
      </c>
      <c r="AH4" s="1">
        <v>1</v>
      </c>
      <c r="AI4">
        <v>0.06</v>
      </c>
      <c r="AJ4">
        <v>475</v>
      </c>
      <c r="AK4">
        <v>28.5</v>
      </c>
      <c r="AM4">
        <v>28.5</v>
      </c>
      <c r="AN4">
        <v>307946.04824999999</v>
      </c>
      <c r="AO4">
        <v>9.6840938015344005</v>
      </c>
      <c r="AP4" t="s">
        <v>0</v>
      </c>
      <c r="AQ4" t="s">
        <v>264</v>
      </c>
      <c r="AR4">
        <v>30358</v>
      </c>
      <c r="AS4" t="s">
        <v>265</v>
      </c>
      <c r="AT4">
        <v>1</v>
      </c>
      <c r="AU4">
        <v>1</v>
      </c>
      <c r="AV4" t="s">
        <v>266</v>
      </c>
      <c r="AW4">
        <v>0</v>
      </c>
      <c r="AX4">
        <v>50</v>
      </c>
      <c r="AY4">
        <v>50</v>
      </c>
      <c r="AZ4" t="s">
        <v>285</v>
      </c>
      <c r="BC4">
        <v>1</v>
      </c>
      <c r="BE4">
        <v>1</v>
      </c>
      <c r="BG4">
        <v>0</v>
      </c>
      <c r="BH4">
        <v>100</v>
      </c>
      <c r="BI4">
        <v>0</v>
      </c>
      <c r="BK4">
        <v>7.3674311000000001</v>
      </c>
      <c r="BL4">
        <v>7.0057344636360002</v>
      </c>
      <c r="BM4">
        <v>0.36169663636400001</v>
      </c>
      <c r="BN4">
        <v>14.931191</v>
      </c>
      <c r="BO4">
        <v>0.53119099999999997</v>
      </c>
      <c r="BP4">
        <v>14.4</v>
      </c>
      <c r="BQ4">
        <v>-0.42124977000000002</v>
      </c>
      <c r="BR4">
        <v>0.42520023000000001</v>
      </c>
      <c r="BS4">
        <v>-0.84645000000000004</v>
      </c>
      <c r="BT4">
        <v>2.1681996000000002E-3</v>
      </c>
      <c r="BU4">
        <v>8.9600653000000002E-4</v>
      </c>
      <c r="BV4">
        <v>7.5086816999999999E-4</v>
      </c>
      <c r="BW4" s="2">
        <v>3.6616000000000002E-8</v>
      </c>
      <c r="BX4">
        <v>0</v>
      </c>
      <c r="BY4">
        <v>0</v>
      </c>
      <c r="BZ4">
        <v>6</v>
      </c>
      <c r="CA4">
        <v>209.97178635</v>
      </c>
      <c r="CB4">
        <v>199.66343221362999</v>
      </c>
      <c r="CC4">
        <v>10.308354136374</v>
      </c>
      <c r="CD4">
        <v>425.53894350000002</v>
      </c>
      <c r="CE4">
        <v>15.1389435</v>
      </c>
      <c r="CF4">
        <v>410.4</v>
      </c>
      <c r="CG4">
        <v>-12.005618445</v>
      </c>
      <c r="CH4">
        <v>12.118206555</v>
      </c>
      <c r="CI4">
        <v>-24.123825</v>
      </c>
      <c r="CJ4">
        <v>6.17936886E-2</v>
      </c>
      <c r="CK4">
        <v>2.5536186105000001E-2</v>
      </c>
      <c r="CL4">
        <v>2.1399742845E-2</v>
      </c>
      <c r="CM4" s="2">
        <v>1.0435559999999999E-6</v>
      </c>
      <c r="CN4">
        <v>13.237281617500001</v>
      </c>
      <c r="CO4">
        <v>31.091887531666998</v>
      </c>
      <c r="CP4">
        <v>71.346893848741999</v>
      </c>
      <c r="CQ4">
        <v>67.844189694492997</v>
      </c>
      <c r="CR4">
        <v>3.5027041542483999</v>
      </c>
      <c r="CS4">
        <v>144.59505421263</v>
      </c>
      <c r="CT4">
        <v>5.1441034705308004</v>
      </c>
      <c r="CU4">
        <v>139.45095074209999</v>
      </c>
      <c r="CV4">
        <v>-4.0794222865548004</v>
      </c>
      <c r="CW4">
        <v>4.117678911754</v>
      </c>
      <c r="CX4">
        <v>-8.1971011983088005</v>
      </c>
      <c r="CY4">
        <v>2.0997048306848998E-2</v>
      </c>
      <c r="CZ4">
        <v>8.6770112833072996E-3</v>
      </c>
      <c r="DA4">
        <v>7.2714777908665E-3</v>
      </c>
      <c r="DB4" s="2">
        <v>3.5459277863698002E-7</v>
      </c>
    </row>
    <row r="5" spans="1:106" x14ac:dyDescent="0.25">
      <c r="A5">
        <v>25868</v>
      </c>
      <c r="B5" t="s">
        <v>284</v>
      </c>
      <c r="C5">
        <v>50</v>
      </c>
      <c r="D5" t="s">
        <v>261</v>
      </c>
      <c r="E5">
        <v>2</v>
      </c>
      <c r="F5" t="s">
        <v>167</v>
      </c>
      <c r="G5">
        <v>31799.16</v>
      </c>
      <c r="H5" t="s">
        <v>0</v>
      </c>
      <c r="I5">
        <v>4</v>
      </c>
      <c r="J5">
        <v>31799.16</v>
      </c>
      <c r="L5">
        <v>92117.401014000003</v>
      </c>
      <c r="O5">
        <v>796822</v>
      </c>
      <c r="P5" t="s">
        <v>3</v>
      </c>
      <c r="Q5">
        <v>102</v>
      </c>
      <c r="R5" t="s">
        <v>262</v>
      </c>
      <c r="S5" t="s">
        <v>263</v>
      </c>
      <c r="T5">
        <v>10805.1245</v>
      </c>
      <c r="V5">
        <v>2142717907</v>
      </c>
      <c r="W5" t="s">
        <v>7</v>
      </c>
      <c r="Y5">
        <v>0.24</v>
      </c>
      <c r="AF5" t="s">
        <v>5</v>
      </c>
      <c r="AG5" t="s">
        <v>6</v>
      </c>
      <c r="AH5" s="1">
        <v>0.8</v>
      </c>
      <c r="AI5">
        <v>0.192</v>
      </c>
      <c r="AJ5">
        <v>40</v>
      </c>
      <c r="AK5">
        <v>7.68</v>
      </c>
      <c r="AM5">
        <v>7.68</v>
      </c>
      <c r="AN5">
        <v>82983.356159999996</v>
      </c>
      <c r="AO5">
        <v>2.6096084349397999</v>
      </c>
      <c r="AP5" t="s">
        <v>0</v>
      </c>
      <c r="AQ5" t="s">
        <v>264</v>
      </c>
      <c r="AR5">
        <v>30358</v>
      </c>
      <c r="AS5" t="s">
        <v>265</v>
      </c>
      <c r="AT5">
        <v>2</v>
      </c>
      <c r="AU5">
        <v>1</v>
      </c>
      <c r="AV5" t="s">
        <v>266</v>
      </c>
      <c r="AW5">
        <v>0</v>
      </c>
      <c r="AX5">
        <v>50</v>
      </c>
      <c r="AY5">
        <v>50</v>
      </c>
      <c r="AZ5" t="s">
        <v>285</v>
      </c>
      <c r="BC5">
        <v>4</v>
      </c>
      <c r="BE5">
        <v>3</v>
      </c>
      <c r="BG5">
        <v>100</v>
      </c>
      <c r="BH5">
        <v>0</v>
      </c>
      <c r="BI5">
        <v>0</v>
      </c>
      <c r="BK5">
        <v>21.343074999999999</v>
      </c>
      <c r="BL5">
        <v>21.343074999999999</v>
      </c>
      <c r="BM5">
        <v>0</v>
      </c>
      <c r="BN5">
        <v>0.78469758000000001</v>
      </c>
      <c r="BO5">
        <v>0.78469758000000001</v>
      </c>
      <c r="BP5">
        <v>0</v>
      </c>
      <c r="BQ5">
        <v>1.7409311000000001</v>
      </c>
      <c r="BR5">
        <v>1.7409311000000001</v>
      </c>
      <c r="BS5">
        <v>0</v>
      </c>
      <c r="BT5">
        <v>1.1809325000000001E-2</v>
      </c>
      <c r="BU5">
        <v>3.1100953999999999E-3</v>
      </c>
      <c r="BV5">
        <v>5.0632319000000004E-3</v>
      </c>
      <c r="BW5" s="2">
        <v>7.0109999999999997E-8</v>
      </c>
      <c r="BX5">
        <v>0</v>
      </c>
      <c r="BY5">
        <v>0</v>
      </c>
      <c r="BZ5">
        <v>6</v>
      </c>
      <c r="CA5">
        <v>163.914816</v>
      </c>
      <c r="CB5">
        <v>163.914816</v>
      </c>
      <c r="CC5">
        <v>0</v>
      </c>
      <c r="CD5">
        <v>6.0264774144000004</v>
      </c>
      <c r="CE5">
        <v>6.0264774144000004</v>
      </c>
      <c r="CF5">
        <v>0</v>
      </c>
      <c r="CG5">
        <v>13.370350847999999</v>
      </c>
      <c r="CH5">
        <v>13.370350847999999</v>
      </c>
      <c r="CI5">
        <v>0</v>
      </c>
      <c r="CJ5">
        <v>9.0695616000000007E-2</v>
      </c>
      <c r="CK5">
        <v>2.3885532671999998E-2</v>
      </c>
      <c r="CL5">
        <v>3.8885620991999999E-2</v>
      </c>
      <c r="CM5" s="2">
        <v>5.3844479999999999E-7</v>
      </c>
      <c r="CN5">
        <v>19.784967808000001</v>
      </c>
      <c r="CO5">
        <v>31.091887531666998</v>
      </c>
      <c r="CP5">
        <v>55.697068547553002</v>
      </c>
      <c r="CQ5">
        <v>55.697068547553002</v>
      </c>
      <c r="CR5">
        <v>0</v>
      </c>
      <c r="CS5">
        <v>2.0477534236447998</v>
      </c>
      <c r="CT5">
        <v>2.0477534236447998</v>
      </c>
      <c r="CU5">
        <v>0</v>
      </c>
      <c r="CV5">
        <v>4.5431484832090003</v>
      </c>
      <c r="CW5">
        <v>4.5431484832090003</v>
      </c>
      <c r="CX5">
        <v>0</v>
      </c>
      <c r="CY5">
        <v>3.0817714130945001E-2</v>
      </c>
      <c r="CZ5">
        <v>8.1161311893074E-3</v>
      </c>
      <c r="DA5">
        <v>1.3213052674296E-2</v>
      </c>
      <c r="DB5" s="2">
        <v>1.8295964737363E-7</v>
      </c>
    </row>
    <row r="6" spans="1:106" x14ac:dyDescent="0.25">
      <c r="A6">
        <v>25868</v>
      </c>
      <c r="B6" t="s">
        <v>284</v>
      </c>
      <c r="C6">
        <v>50</v>
      </c>
      <c r="D6" t="s">
        <v>261</v>
      </c>
      <c r="E6">
        <v>2</v>
      </c>
      <c r="F6" t="s">
        <v>167</v>
      </c>
      <c r="G6">
        <v>31799.16</v>
      </c>
      <c r="H6" t="s">
        <v>0</v>
      </c>
      <c r="I6">
        <v>4</v>
      </c>
      <c r="J6">
        <v>31799.16</v>
      </c>
      <c r="L6">
        <v>92117.401014000003</v>
      </c>
      <c r="O6">
        <v>796822</v>
      </c>
      <c r="P6" t="s">
        <v>3</v>
      </c>
      <c r="Q6">
        <v>102</v>
      </c>
      <c r="R6" t="s">
        <v>262</v>
      </c>
      <c r="S6" t="s">
        <v>263</v>
      </c>
      <c r="T6">
        <v>10805.1245</v>
      </c>
      <c r="V6">
        <v>2142718934</v>
      </c>
      <c r="W6" t="s">
        <v>8</v>
      </c>
      <c r="Y6">
        <v>0.24</v>
      </c>
      <c r="AF6" t="s">
        <v>5</v>
      </c>
      <c r="AG6" t="s">
        <v>6</v>
      </c>
      <c r="AH6" s="1">
        <v>0.2</v>
      </c>
      <c r="AI6">
        <v>4.8000000000000001E-2</v>
      </c>
      <c r="AJ6">
        <v>475</v>
      </c>
      <c r="AK6">
        <v>22.8</v>
      </c>
      <c r="AM6">
        <v>22.8</v>
      </c>
      <c r="AN6">
        <v>246356.83859999999</v>
      </c>
      <c r="AO6">
        <v>7.7472750412274998</v>
      </c>
      <c r="AP6" t="s">
        <v>0</v>
      </c>
      <c r="AQ6" t="s">
        <v>264</v>
      </c>
      <c r="AR6">
        <v>30358</v>
      </c>
      <c r="AS6" t="s">
        <v>265</v>
      </c>
      <c r="AT6">
        <v>2</v>
      </c>
      <c r="AU6">
        <v>2</v>
      </c>
      <c r="AV6" t="s">
        <v>266</v>
      </c>
      <c r="AW6">
        <v>0</v>
      </c>
      <c r="AX6">
        <v>50</v>
      </c>
      <c r="AY6">
        <v>50</v>
      </c>
      <c r="AZ6" t="s">
        <v>285</v>
      </c>
      <c r="BC6">
        <v>1</v>
      </c>
      <c r="BE6">
        <v>1</v>
      </c>
      <c r="BG6">
        <v>0</v>
      </c>
      <c r="BH6">
        <v>100</v>
      </c>
      <c r="BI6">
        <v>0</v>
      </c>
      <c r="BK6">
        <v>3.5879707999999999</v>
      </c>
      <c r="BL6">
        <v>3.5879707999999999</v>
      </c>
      <c r="BM6">
        <v>0</v>
      </c>
      <c r="BN6">
        <v>20.323786999999999</v>
      </c>
      <c r="BO6">
        <v>3.0837870000000001</v>
      </c>
      <c r="BP6">
        <v>17.239999999999998</v>
      </c>
      <c r="BQ6">
        <v>-0.69825356999999999</v>
      </c>
      <c r="BR6">
        <v>0.21034643</v>
      </c>
      <c r="BS6">
        <v>-0.90859999999999996</v>
      </c>
      <c r="BT6">
        <v>1.2826999000000001E-3</v>
      </c>
      <c r="BU6">
        <v>5.8292358999999998E-4</v>
      </c>
      <c r="BV6">
        <v>5.0843204000000002E-4</v>
      </c>
      <c r="BW6" s="2">
        <v>1.8139999999999999E-8</v>
      </c>
      <c r="BX6">
        <v>0</v>
      </c>
      <c r="BY6">
        <v>0</v>
      </c>
      <c r="BZ6">
        <v>6</v>
      </c>
      <c r="CA6">
        <v>81.805734240000007</v>
      </c>
      <c r="CB6">
        <v>81.805734240000007</v>
      </c>
      <c r="CC6">
        <v>0</v>
      </c>
      <c r="CD6">
        <v>463.38234360000001</v>
      </c>
      <c r="CE6">
        <v>70.310343599999996</v>
      </c>
      <c r="CF6">
        <v>393.072</v>
      </c>
      <c r="CG6">
        <v>-15.920181396</v>
      </c>
      <c r="CH6">
        <v>4.7958986039999996</v>
      </c>
      <c r="CI6">
        <v>-20.716080000000002</v>
      </c>
      <c r="CJ6">
        <v>2.9245557719999999E-2</v>
      </c>
      <c r="CK6">
        <v>1.3290657851999999E-2</v>
      </c>
      <c r="CL6">
        <v>1.1592250512E-2</v>
      </c>
      <c r="CM6" s="2">
        <v>4.1359199999999999E-7</v>
      </c>
      <c r="CN6">
        <v>3.9729019380000001</v>
      </c>
      <c r="CO6">
        <v>31.091887531666998</v>
      </c>
      <c r="CP6">
        <v>27.796996627493002</v>
      </c>
      <c r="CQ6">
        <v>27.796996627493002</v>
      </c>
      <c r="CR6">
        <v>0</v>
      </c>
      <c r="CS6">
        <v>157.45396776832001</v>
      </c>
      <c r="CT6">
        <v>23.890946057562001</v>
      </c>
      <c r="CU6">
        <v>133.56302171076001</v>
      </c>
      <c r="CV6">
        <v>-5.4095624553089996</v>
      </c>
      <c r="CW6">
        <v>1.6296116471502999</v>
      </c>
      <c r="CX6">
        <v>-7.0391741024592998</v>
      </c>
      <c r="CY6">
        <v>9.937428920655E-3</v>
      </c>
      <c r="CZ6">
        <v>4.5160693797496997E-3</v>
      </c>
      <c r="DA6">
        <v>3.9389628536524003E-3</v>
      </c>
      <c r="DB6" s="2">
        <v>1.4053556924787001E-7</v>
      </c>
    </row>
    <row r="7" spans="1:106" x14ac:dyDescent="0.25">
      <c r="A7">
        <v>25868</v>
      </c>
      <c r="B7" t="s">
        <v>284</v>
      </c>
      <c r="C7">
        <v>50</v>
      </c>
      <c r="D7" t="s">
        <v>261</v>
      </c>
      <c r="E7">
        <v>2</v>
      </c>
      <c r="F7" t="s">
        <v>167</v>
      </c>
      <c r="G7">
        <v>31799.16</v>
      </c>
      <c r="H7" t="s">
        <v>0</v>
      </c>
      <c r="I7">
        <v>4</v>
      </c>
      <c r="J7">
        <v>31799.16</v>
      </c>
      <c r="L7">
        <v>92117.401014000003</v>
      </c>
      <c r="O7">
        <v>796822</v>
      </c>
      <c r="P7" t="s">
        <v>3</v>
      </c>
      <c r="Q7">
        <v>102</v>
      </c>
      <c r="R7" t="s">
        <v>262</v>
      </c>
      <c r="S7" t="s">
        <v>263</v>
      </c>
      <c r="T7">
        <v>10805.1245</v>
      </c>
      <c r="W7" t="s">
        <v>9</v>
      </c>
      <c r="Y7">
        <v>1.4999999999999999E-2</v>
      </c>
      <c r="AF7" t="s">
        <v>5</v>
      </c>
      <c r="AG7" t="s">
        <v>6</v>
      </c>
      <c r="AH7" s="1">
        <v>1</v>
      </c>
      <c r="AI7">
        <v>1.4999999999999999E-2</v>
      </c>
      <c r="AJ7">
        <v>1200</v>
      </c>
      <c r="AK7">
        <v>18</v>
      </c>
      <c r="AM7">
        <v>18</v>
      </c>
      <c r="AN7">
        <v>194492.24100000001</v>
      </c>
      <c r="AO7">
        <v>6.1162697693901</v>
      </c>
      <c r="AP7" t="s">
        <v>0</v>
      </c>
      <c r="AQ7" t="s">
        <v>264</v>
      </c>
      <c r="AR7">
        <v>30358</v>
      </c>
      <c r="AS7" t="s">
        <v>265</v>
      </c>
      <c r="AT7">
        <v>3</v>
      </c>
      <c r="AU7">
        <v>1</v>
      </c>
      <c r="AV7" t="s">
        <v>266</v>
      </c>
      <c r="AW7">
        <v>0</v>
      </c>
      <c r="AX7">
        <v>50</v>
      </c>
      <c r="AY7">
        <v>50</v>
      </c>
      <c r="AZ7" t="s">
        <v>285</v>
      </c>
      <c r="BC7">
        <v>3</v>
      </c>
      <c r="BE7">
        <v>4</v>
      </c>
      <c r="BG7">
        <v>50</v>
      </c>
      <c r="BH7">
        <v>50</v>
      </c>
      <c r="BI7">
        <v>0</v>
      </c>
      <c r="BK7">
        <v>5.0350267999999998</v>
      </c>
      <c r="BL7">
        <v>4.2850267999999998</v>
      </c>
      <c r="BM7">
        <v>0.75</v>
      </c>
      <c r="BN7">
        <v>2.6372589999999998</v>
      </c>
      <c r="BO7">
        <v>0.150259</v>
      </c>
      <c r="BP7">
        <v>2.4870000000000001</v>
      </c>
      <c r="BQ7">
        <v>0.48134774000000002</v>
      </c>
      <c r="BR7">
        <v>0.62104773999999996</v>
      </c>
      <c r="BS7">
        <v>-0.13969999999999999</v>
      </c>
      <c r="BT7">
        <v>1.1368352E-3</v>
      </c>
      <c r="BU7">
        <v>2.9767676000000003E-4</v>
      </c>
      <c r="BV7">
        <v>1.4392046E-4</v>
      </c>
      <c r="BW7" s="2">
        <v>2.4725000000000001E-8</v>
      </c>
      <c r="BX7">
        <v>0</v>
      </c>
      <c r="BY7">
        <v>0</v>
      </c>
      <c r="BZ7">
        <v>6</v>
      </c>
      <c r="CA7">
        <v>90.630482400000005</v>
      </c>
      <c r="CB7">
        <v>77.130482400000005</v>
      </c>
      <c r="CC7">
        <v>13.5</v>
      </c>
      <c r="CD7">
        <v>47.470661999999997</v>
      </c>
      <c r="CE7">
        <v>2.7046619999999999</v>
      </c>
      <c r="CF7">
        <v>44.765999999999998</v>
      </c>
      <c r="CG7">
        <v>8.6642593199999993</v>
      </c>
      <c r="CH7">
        <v>11.178859320000001</v>
      </c>
      <c r="CI7">
        <v>-2.5146000000000002</v>
      </c>
      <c r="CJ7">
        <v>2.04630336E-2</v>
      </c>
      <c r="CK7">
        <v>5.3581816799999999E-3</v>
      </c>
      <c r="CL7">
        <v>2.5905682799999999E-3</v>
      </c>
      <c r="CM7" s="2">
        <v>4.4504999999999998E-7</v>
      </c>
      <c r="CN7">
        <v>7.1934637800000001</v>
      </c>
      <c r="CO7">
        <v>31.091887531666998</v>
      </c>
      <c r="CP7">
        <v>30.795582204909</v>
      </c>
      <c r="CQ7">
        <v>26.208379877866999</v>
      </c>
      <c r="CR7">
        <v>4.5872023270425997</v>
      </c>
      <c r="CS7">
        <v>16.130187495752001</v>
      </c>
      <c r="CT7">
        <v>0.91902457927879</v>
      </c>
      <c r="CU7">
        <v>15.211162916473</v>
      </c>
      <c r="CV7">
        <v>2.9440526307263002</v>
      </c>
      <c r="CW7">
        <v>3.7984955175101001</v>
      </c>
      <c r="CX7">
        <v>-0.85444288678379998</v>
      </c>
      <c r="CY7">
        <v>6.9531907665385997E-3</v>
      </c>
      <c r="CZ7">
        <v>1.820671368238E-3</v>
      </c>
      <c r="DA7">
        <v>8.8025635869472003E-4</v>
      </c>
      <c r="DB7" s="2">
        <v>1.5122477004816999E-7</v>
      </c>
    </row>
    <row r="8" spans="1:106" x14ac:dyDescent="0.25">
      <c r="A8">
        <v>25868</v>
      </c>
      <c r="B8" t="s">
        <v>284</v>
      </c>
      <c r="C8">
        <v>50</v>
      </c>
      <c r="D8" t="s">
        <v>261</v>
      </c>
      <c r="E8">
        <v>2</v>
      </c>
      <c r="F8" t="s">
        <v>167</v>
      </c>
      <c r="G8">
        <v>31799.16</v>
      </c>
      <c r="H8" t="s">
        <v>0</v>
      </c>
      <c r="I8">
        <v>4</v>
      </c>
      <c r="J8">
        <v>31799.16</v>
      </c>
      <c r="L8">
        <v>92117.401014000003</v>
      </c>
      <c r="O8">
        <v>796822</v>
      </c>
      <c r="P8" t="s">
        <v>3</v>
      </c>
      <c r="Q8">
        <v>102</v>
      </c>
      <c r="R8" t="s">
        <v>262</v>
      </c>
      <c r="S8" t="s">
        <v>263</v>
      </c>
      <c r="T8">
        <v>10805.1245</v>
      </c>
      <c r="V8">
        <v>2142718766</v>
      </c>
      <c r="W8" t="s">
        <v>10</v>
      </c>
      <c r="Y8">
        <v>1E-3</v>
      </c>
      <c r="AF8" t="s">
        <v>5</v>
      </c>
      <c r="AG8" t="s">
        <v>6</v>
      </c>
      <c r="AH8" s="1">
        <v>1</v>
      </c>
      <c r="AI8">
        <v>1E-3</v>
      </c>
      <c r="AJ8">
        <v>300</v>
      </c>
      <c r="AK8">
        <v>0.3</v>
      </c>
      <c r="AM8">
        <v>0.3</v>
      </c>
      <c r="AN8">
        <v>3241.5373500000001</v>
      </c>
      <c r="AO8">
        <v>0.10193782948984</v>
      </c>
      <c r="AP8" t="s">
        <v>0</v>
      </c>
      <c r="AQ8" t="s">
        <v>264</v>
      </c>
      <c r="AR8">
        <v>30358</v>
      </c>
      <c r="AS8" t="s">
        <v>265</v>
      </c>
      <c r="AT8">
        <v>4</v>
      </c>
      <c r="AU8">
        <v>1</v>
      </c>
      <c r="AV8" t="s">
        <v>266</v>
      </c>
      <c r="AW8">
        <v>1</v>
      </c>
      <c r="AX8">
        <v>25</v>
      </c>
      <c r="AY8">
        <v>25</v>
      </c>
      <c r="AZ8" t="s">
        <v>286</v>
      </c>
      <c r="BC8">
        <v>3</v>
      </c>
      <c r="BE8">
        <v>3</v>
      </c>
      <c r="BG8">
        <v>0</v>
      </c>
      <c r="BH8">
        <v>100</v>
      </c>
      <c r="BI8">
        <v>0</v>
      </c>
      <c r="BK8">
        <v>85.988403000000005</v>
      </c>
      <c r="BL8">
        <v>43.518402999999999</v>
      </c>
      <c r="BM8">
        <v>42.47</v>
      </c>
      <c r="BN8">
        <v>1.3022769000000001</v>
      </c>
      <c r="BO8">
        <v>1.3022769000000001</v>
      </c>
      <c r="BP8">
        <v>0</v>
      </c>
      <c r="BQ8">
        <v>2.8430924000000002</v>
      </c>
      <c r="BR8">
        <v>2.8640924000000001</v>
      </c>
      <c r="BS8">
        <v>-2.1000000000000001E-2</v>
      </c>
      <c r="BT8">
        <v>8.3217996000000006E-3</v>
      </c>
      <c r="BU8">
        <v>1.6064606999999999E-3</v>
      </c>
      <c r="BV8">
        <v>2.4785428000000001E-3</v>
      </c>
      <c r="BW8" s="2">
        <v>3.9116873999999998E-8</v>
      </c>
      <c r="BX8">
        <v>0</v>
      </c>
      <c r="BY8">
        <v>0</v>
      </c>
      <c r="BZ8">
        <v>6</v>
      </c>
      <c r="CA8">
        <v>51.593041800000002</v>
      </c>
      <c r="CB8">
        <v>26.111041799999999</v>
      </c>
      <c r="CC8">
        <v>25.481999999999999</v>
      </c>
      <c r="CD8">
        <v>0.78136614000000004</v>
      </c>
      <c r="CE8">
        <v>0.78136614000000004</v>
      </c>
      <c r="CF8">
        <v>0</v>
      </c>
      <c r="CG8">
        <v>1.7121554400000001</v>
      </c>
      <c r="CH8">
        <v>1.7184554400000001</v>
      </c>
      <c r="CI8">
        <v>-6.3E-3</v>
      </c>
      <c r="CJ8">
        <v>4.9930797599999997E-3</v>
      </c>
      <c r="CK8">
        <v>9.6387641999999996E-4</v>
      </c>
      <c r="CL8">
        <v>1.4871256800000001E-3</v>
      </c>
      <c r="CM8" s="2">
        <v>2.3470124400000001E-8</v>
      </c>
      <c r="CN8">
        <v>2.670871268</v>
      </c>
      <c r="CO8">
        <v>31.091887531666998</v>
      </c>
      <c r="CP8">
        <v>17.530942326234999</v>
      </c>
      <c r="CQ8">
        <v>8.8723430893679005</v>
      </c>
      <c r="CR8">
        <v>8.6585992368665998</v>
      </c>
      <c r="CS8">
        <v>0.26550256116150001</v>
      </c>
      <c r="CT8">
        <v>0.26550256116150001</v>
      </c>
      <c r="CU8">
        <v>0</v>
      </c>
      <c r="CV8">
        <v>0.58177803100937997</v>
      </c>
      <c r="CW8">
        <v>0.58391872542866996</v>
      </c>
      <c r="CX8">
        <v>-2.1406944192864999E-3</v>
      </c>
      <c r="CY8">
        <v>1.6966123773468E-3</v>
      </c>
      <c r="CZ8">
        <v>3.2751823383743998E-4</v>
      </c>
      <c r="DA8">
        <v>5.0531454665932E-4</v>
      </c>
      <c r="DB8" s="2">
        <v>7.9749784639748004E-9</v>
      </c>
    </row>
    <row r="9" spans="1:106" x14ac:dyDescent="0.25">
      <c r="A9">
        <v>25868</v>
      </c>
      <c r="B9" t="s">
        <v>284</v>
      </c>
      <c r="C9">
        <v>50</v>
      </c>
      <c r="D9" t="s">
        <v>261</v>
      </c>
      <c r="E9">
        <v>2</v>
      </c>
      <c r="F9" t="s">
        <v>167</v>
      </c>
      <c r="G9">
        <v>31799.16</v>
      </c>
      <c r="H9" t="s">
        <v>0</v>
      </c>
      <c r="I9">
        <v>4</v>
      </c>
      <c r="J9">
        <v>31799.16</v>
      </c>
      <c r="L9">
        <v>92117.401014000003</v>
      </c>
      <c r="O9">
        <v>796822</v>
      </c>
      <c r="P9" t="s">
        <v>3</v>
      </c>
      <c r="Q9">
        <v>102</v>
      </c>
      <c r="R9" t="s">
        <v>262</v>
      </c>
      <c r="S9" t="s">
        <v>263</v>
      </c>
      <c r="T9">
        <v>10805.1245</v>
      </c>
      <c r="W9" t="s">
        <v>11</v>
      </c>
      <c r="Y9">
        <v>0.05</v>
      </c>
      <c r="AF9" t="s">
        <v>5</v>
      </c>
      <c r="AG9" t="s">
        <v>6</v>
      </c>
      <c r="AH9" s="1">
        <v>1</v>
      </c>
      <c r="AI9">
        <v>0.05</v>
      </c>
      <c r="AJ9">
        <v>475</v>
      </c>
      <c r="AK9">
        <v>23.75</v>
      </c>
      <c r="AM9">
        <v>23.75</v>
      </c>
      <c r="AN9">
        <v>256621.706875</v>
      </c>
      <c r="AO9">
        <v>8.0700781679453009</v>
      </c>
      <c r="AP9" t="s">
        <v>0</v>
      </c>
      <c r="AQ9" t="s">
        <v>264</v>
      </c>
      <c r="AR9">
        <v>30358</v>
      </c>
      <c r="AS9" t="s">
        <v>265</v>
      </c>
      <c r="AT9">
        <v>5</v>
      </c>
      <c r="AU9">
        <v>1</v>
      </c>
      <c r="AV9" t="s">
        <v>266</v>
      </c>
      <c r="AW9">
        <v>0</v>
      </c>
      <c r="AX9">
        <v>50</v>
      </c>
      <c r="AY9">
        <v>50</v>
      </c>
      <c r="AZ9" t="s">
        <v>285</v>
      </c>
      <c r="BC9">
        <v>1</v>
      </c>
      <c r="BE9">
        <v>1</v>
      </c>
      <c r="BG9">
        <v>0</v>
      </c>
      <c r="BH9">
        <v>100</v>
      </c>
      <c r="BI9">
        <v>0</v>
      </c>
      <c r="BK9">
        <v>9.2021829000000004</v>
      </c>
      <c r="BL9">
        <v>8.8285628999999997</v>
      </c>
      <c r="BM9">
        <v>0.37362000000000001</v>
      </c>
      <c r="BN9">
        <v>17.684211000000001</v>
      </c>
      <c r="BO9">
        <v>0.63333099999999998</v>
      </c>
      <c r="BP9">
        <v>17.050879999999999</v>
      </c>
      <c r="BQ9">
        <v>-0.32528815</v>
      </c>
      <c r="BR9">
        <v>0.51016185000000003</v>
      </c>
      <c r="BS9">
        <v>-0.83545000000000003</v>
      </c>
      <c r="BT9">
        <v>2.8813898000000001E-3</v>
      </c>
      <c r="BU9">
        <v>1.3804499E-3</v>
      </c>
      <c r="BV9">
        <v>1.0392354E-3</v>
      </c>
      <c r="BW9" s="2">
        <v>4.4076999999999998E-8</v>
      </c>
      <c r="BX9">
        <v>0</v>
      </c>
      <c r="BY9">
        <v>0</v>
      </c>
      <c r="BZ9">
        <v>6</v>
      </c>
      <c r="CA9">
        <v>218.551843875</v>
      </c>
      <c r="CB9">
        <v>209.67836887499999</v>
      </c>
      <c r="CC9">
        <v>8.8734749999999991</v>
      </c>
      <c r="CD9">
        <v>420.00001125</v>
      </c>
      <c r="CE9">
        <v>15.041611250000001</v>
      </c>
      <c r="CF9">
        <v>404.95839999999998</v>
      </c>
      <c r="CG9">
        <v>-7.7255935625000003</v>
      </c>
      <c r="CH9">
        <v>12.1163439375</v>
      </c>
      <c r="CI9">
        <v>-19.8419375</v>
      </c>
      <c r="CJ9">
        <v>6.8433007749999997E-2</v>
      </c>
      <c r="CK9">
        <v>3.2785685124999998E-2</v>
      </c>
      <c r="CL9">
        <v>2.468184075E-2</v>
      </c>
      <c r="CM9" s="2">
        <v>1.04682875E-6</v>
      </c>
      <c r="CN9">
        <v>15.121863568749999</v>
      </c>
      <c r="CO9">
        <v>31.091887531666998</v>
      </c>
      <c r="CP9">
        <v>74.262335318729995</v>
      </c>
      <c r="CQ9">
        <v>71.247192713621999</v>
      </c>
      <c r="CR9">
        <v>3.0151426051076999</v>
      </c>
      <c r="CS9">
        <v>142.71296510843999</v>
      </c>
      <c r="CT9">
        <v>5.1110306761829998</v>
      </c>
      <c r="CU9">
        <v>137.60193443226001</v>
      </c>
      <c r="CV9">
        <v>-2.6251007976062999</v>
      </c>
      <c r="CW9">
        <v>4.1170460078035997</v>
      </c>
      <c r="CX9">
        <v>-6.7421468054098996</v>
      </c>
      <c r="CY9">
        <v>2.3253040918319999E-2</v>
      </c>
      <c r="CZ9">
        <v>1.1140338599932E-2</v>
      </c>
      <c r="DA9">
        <v>8.3867109128958998E-3</v>
      </c>
      <c r="DB9" s="2">
        <v>3.5570483540852998E-7</v>
      </c>
    </row>
    <row r="10" spans="1:106" x14ac:dyDescent="0.25">
      <c r="A10">
        <v>25868</v>
      </c>
      <c r="B10" t="s">
        <v>284</v>
      </c>
      <c r="C10">
        <v>50</v>
      </c>
      <c r="D10" t="s">
        <v>261</v>
      </c>
      <c r="E10">
        <v>2</v>
      </c>
      <c r="F10" t="s">
        <v>167</v>
      </c>
      <c r="G10">
        <v>31799.16</v>
      </c>
      <c r="H10" t="s">
        <v>0</v>
      </c>
      <c r="I10">
        <v>4</v>
      </c>
      <c r="J10">
        <v>31799.16</v>
      </c>
      <c r="L10">
        <v>92117.401014000003</v>
      </c>
      <c r="O10">
        <v>796822</v>
      </c>
      <c r="P10" t="s">
        <v>3</v>
      </c>
      <c r="Q10">
        <v>102</v>
      </c>
      <c r="R10" t="s">
        <v>262</v>
      </c>
      <c r="S10" t="s">
        <v>263</v>
      </c>
      <c r="T10">
        <v>10805.1245</v>
      </c>
      <c r="V10">
        <v>2142704948</v>
      </c>
      <c r="W10" t="s">
        <v>12</v>
      </c>
      <c r="Y10">
        <v>1.9E-2</v>
      </c>
      <c r="AF10" t="s">
        <v>5</v>
      </c>
      <c r="AG10" t="s">
        <v>6</v>
      </c>
      <c r="AH10" s="1">
        <v>1</v>
      </c>
      <c r="AI10">
        <v>1.9E-2</v>
      </c>
      <c r="AJ10">
        <v>450</v>
      </c>
      <c r="AK10">
        <v>8.5500000000000007</v>
      </c>
      <c r="AM10">
        <v>8.5500000000000007</v>
      </c>
      <c r="AN10">
        <v>92383.814475000006</v>
      </c>
      <c r="AO10">
        <v>2.9052281404603</v>
      </c>
      <c r="AP10" t="s">
        <v>0</v>
      </c>
      <c r="AQ10" t="s">
        <v>264</v>
      </c>
      <c r="AR10">
        <v>30358</v>
      </c>
      <c r="AS10" t="s">
        <v>265</v>
      </c>
      <c r="AT10">
        <v>6</v>
      </c>
      <c r="AU10">
        <v>1</v>
      </c>
      <c r="AV10" t="s">
        <v>266</v>
      </c>
      <c r="AW10">
        <v>0</v>
      </c>
      <c r="AX10">
        <v>50</v>
      </c>
      <c r="AY10">
        <v>50</v>
      </c>
      <c r="AZ10" t="s">
        <v>285</v>
      </c>
      <c r="BC10">
        <v>1</v>
      </c>
      <c r="BE10">
        <v>1</v>
      </c>
      <c r="BG10">
        <v>0</v>
      </c>
      <c r="BH10">
        <v>100</v>
      </c>
      <c r="BI10">
        <v>0</v>
      </c>
      <c r="BK10">
        <v>9.2021829000000004</v>
      </c>
      <c r="BL10">
        <v>8.8285628999999997</v>
      </c>
      <c r="BM10">
        <v>0.37362000000000001</v>
      </c>
      <c r="BN10">
        <v>17.684211000000001</v>
      </c>
      <c r="BO10">
        <v>0.63333099999999998</v>
      </c>
      <c r="BP10">
        <v>17.050879999999999</v>
      </c>
      <c r="BQ10">
        <v>-0.32528815</v>
      </c>
      <c r="BR10">
        <v>0.51016185000000003</v>
      </c>
      <c r="BS10">
        <v>-0.83545000000000003</v>
      </c>
      <c r="BT10">
        <v>2.8813898000000001E-3</v>
      </c>
      <c r="BU10">
        <v>1.3804499E-3</v>
      </c>
      <c r="BV10">
        <v>1.0392354E-3</v>
      </c>
      <c r="BW10" s="2">
        <v>4.4076999999999998E-8</v>
      </c>
      <c r="BX10">
        <v>0</v>
      </c>
      <c r="BY10">
        <v>0</v>
      </c>
      <c r="BZ10">
        <v>6</v>
      </c>
      <c r="CA10">
        <v>78.678663795000006</v>
      </c>
      <c r="CB10">
        <v>75.484212795000005</v>
      </c>
      <c r="CC10">
        <v>3.1944509999999999</v>
      </c>
      <c r="CD10">
        <v>151.20000404999999</v>
      </c>
      <c r="CE10">
        <v>5.4149800499999996</v>
      </c>
      <c r="CF10">
        <v>145.78502399999999</v>
      </c>
      <c r="CG10">
        <v>-2.7812136824999998</v>
      </c>
      <c r="CH10">
        <v>4.3618838174999999</v>
      </c>
      <c r="CI10">
        <v>-7.1430974999999997</v>
      </c>
      <c r="CJ10">
        <v>2.4635882790000001E-2</v>
      </c>
      <c r="CK10">
        <v>1.1802846645E-2</v>
      </c>
      <c r="CL10">
        <v>8.8854626700000001E-3</v>
      </c>
      <c r="CM10" s="2">
        <v>3.7685835E-7</v>
      </c>
      <c r="CN10">
        <v>5.4438708847499999</v>
      </c>
      <c r="CO10">
        <v>31.091887531666998</v>
      </c>
      <c r="CP10">
        <v>26.734440714742998</v>
      </c>
      <c r="CQ10">
        <v>25.648989376904002</v>
      </c>
      <c r="CR10">
        <v>1.0854513378388</v>
      </c>
      <c r="CS10">
        <v>51.376667439038002</v>
      </c>
      <c r="CT10">
        <v>1.8399710434259</v>
      </c>
      <c r="CU10">
        <v>49.536696395611997</v>
      </c>
      <c r="CV10">
        <v>-0.94503628713828003</v>
      </c>
      <c r="CW10">
        <v>1.4821365628093</v>
      </c>
      <c r="CX10">
        <v>-2.4271728499476</v>
      </c>
      <c r="CY10">
        <v>8.3710947305953003E-3</v>
      </c>
      <c r="CZ10">
        <v>4.0105218959755997E-3</v>
      </c>
      <c r="DA10">
        <v>3.0192159286425001E-3</v>
      </c>
      <c r="DB10" s="2">
        <v>1.2805374074707001E-7</v>
      </c>
    </row>
    <row r="11" spans="1:106" x14ac:dyDescent="0.25">
      <c r="A11">
        <v>25868</v>
      </c>
      <c r="B11" t="s">
        <v>284</v>
      </c>
      <c r="C11">
        <v>50</v>
      </c>
      <c r="D11" t="s">
        <v>261</v>
      </c>
      <c r="E11">
        <v>2</v>
      </c>
      <c r="F11" t="s">
        <v>167</v>
      </c>
      <c r="G11">
        <v>31799.16</v>
      </c>
      <c r="H11" t="s">
        <v>0</v>
      </c>
      <c r="I11">
        <v>4</v>
      </c>
      <c r="J11">
        <v>31799.16</v>
      </c>
      <c r="L11">
        <v>92117.401014000003</v>
      </c>
      <c r="O11">
        <v>796823</v>
      </c>
      <c r="P11" t="s">
        <v>13</v>
      </c>
      <c r="Q11">
        <v>102</v>
      </c>
      <c r="R11" t="s">
        <v>262</v>
      </c>
      <c r="S11" t="s">
        <v>263</v>
      </c>
      <c r="T11">
        <v>248.74510000000001</v>
      </c>
      <c r="V11">
        <v>2142685464</v>
      </c>
      <c r="W11" t="s">
        <v>14</v>
      </c>
      <c r="Y11">
        <v>2E-3</v>
      </c>
      <c r="AF11" t="s">
        <v>5</v>
      </c>
      <c r="AG11" t="s">
        <v>6</v>
      </c>
      <c r="AH11" s="1">
        <v>1</v>
      </c>
      <c r="AI11">
        <v>2E-3</v>
      </c>
      <c r="AJ11">
        <v>1300</v>
      </c>
      <c r="AK11">
        <v>2.6</v>
      </c>
      <c r="AM11">
        <v>2.6</v>
      </c>
      <c r="AN11">
        <v>646.73725999999999</v>
      </c>
      <c r="AO11">
        <v>2.0338186920661E-2</v>
      </c>
      <c r="AP11" t="s">
        <v>0</v>
      </c>
      <c r="AQ11" t="s">
        <v>264</v>
      </c>
      <c r="AR11">
        <v>30358</v>
      </c>
      <c r="AS11" t="s">
        <v>265</v>
      </c>
      <c r="AT11">
        <v>1</v>
      </c>
      <c r="AU11">
        <v>1</v>
      </c>
      <c r="AV11" t="s">
        <v>266</v>
      </c>
      <c r="AW11">
        <v>1</v>
      </c>
      <c r="AX11">
        <v>35</v>
      </c>
      <c r="AY11">
        <v>35</v>
      </c>
      <c r="AZ11" t="s">
        <v>287</v>
      </c>
      <c r="BC11">
        <v>2</v>
      </c>
      <c r="BE11">
        <v>3</v>
      </c>
      <c r="BG11">
        <v>100</v>
      </c>
      <c r="BH11">
        <v>0</v>
      </c>
      <c r="BI11">
        <v>0</v>
      </c>
      <c r="BK11">
        <v>2.0832495</v>
      </c>
      <c r="BL11">
        <v>2.0832495</v>
      </c>
      <c r="BM11">
        <v>0</v>
      </c>
      <c r="BN11">
        <v>0.32445808999999998</v>
      </c>
      <c r="BO11">
        <v>0.32445808999999998</v>
      </c>
      <c r="BP11">
        <v>0</v>
      </c>
      <c r="BQ11">
        <v>0.17529323999999999</v>
      </c>
      <c r="BR11">
        <v>0.17729323999999999</v>
      </c>
      <c r="BS11">
        <v>-2E-3</v>
      </c>
      <c r="BT11">
        <v>4.9332165000000002E-4</v>
      </c>
      <c r="BU11">
        <v>2.038571E-4</v>
      </c>
      <c r="BV11" s="2">
        <v>6.4315664999999996E-5</v>
      </c>
      <c r="BW11" s="2">
        <v>1.4918986000000002E-8</v>
      </c>
      <c r="BX11">
        <v>0</v>
      </c>
      <c r="BY11">
        <v>0</v>
      </c>
      <c r="BZ11">
        <v>6</v>
      </c>
      <c r="CA11">
        <v>10.8328974</v>
      </c>
      <c r="CB11">
        <v>10.8328974</v>
      </c>
      <c r="CC11">
        <v>0</v>
      </c>
      <c r="CD11">
        <v>1.687182068</v>
      </c>
      <c r="CE11">
        <v>1.687182068</v>
      </c>
      <c r="CF11">
        <v>0</v>
      </c>
      <c r="CG11">
        <v>0.91672484799999998</v>
      </c>
      <c r="CH11">
        <v>0.92192484799999996</v>
      </c>
      <c r="CI11">
        <v>-5.1999999999999998E-3</v>
      </c>
      <c r="CJ11">
        <v>2.5652725799999998E-3</v>
      </c>
      <c r="CK11">
        <v>1.06005692E-3</v>
      </c>
      <c r="CL11">
        <v>3.34441458E-4</v>
      </c>
      <c r="CM11" s="2">
        <v>7.7578727200000002E-8</v>
      </c>
      <c r="CN11">
        <v>0.85592039866667002</v>
      </c>
      <c r="CO11">
        <v>99.362058679499995</v>
      </c>
      <c r="CP11">
        <v>8.4739035466745993E-2</v>
      </c>
      <c r="CQ11">
        <v>8.4739035466745993E-2</v>
      </c>
      <c r="CR11">
        <v>0</v>
      </c>
      <c r="CS11">
        <v>1.3197778564681E-2</v>
      </c>
      <c r="CT11">
        <v>1.3197778564681E-2</v>
      </c>
      <c r="CU11">
        <v>0</v>
      </c>
      <c r="CV11">
        <v>7.1709697359378004E-3</v>
      </c>
      <c r="CW11">
        <v>7.2116461097792E-3</v>
      </c>
      <c r="CX11" s="2">
        <v>-4.0676373841322002E-5</v>
      </c>
      <c r="CY11" s="2">
        <v>2.0066535859418E-5</v>
      </c>
      <c r="CZ11" s="2">
        <v>8.2921676098077007E-6</v>
      </c>
      <c r="DA11" s="2">
        <v>2.6161280333932001E-6</v>
      </c>
      <c r="DB11" s="2">
        <v>6.0685025186943998E-10</v>
      </c>
    </row>
    <row r="12" spans="1:106" x14ac:dyDescent="0.25">
      <c r="A12">
        <v>25868</v>
      </c>
      <c r="B12" t="s">
        <v>284</v>
      </c>
      <c r="C12">
        <v>50</v>
      </c>
      <c r="D12" t="s">
        <v>261</v>
      </c>
      <c r="E12">
        <v>2</v>
      </c>
      <c r="F12" t="s">
        <v>167</v>
      </c>
      <c r="G12">
        <v>31799.16</v>
      </c>
      <c r="H12" t="s">
        <v>0</v>
      </c>
      <c r="I12">
        <v>4</v>
      </c>
      <c r="J12">
        <v>31799.16</v>
      </c>
      <c r="L12">
        <v>92117.401014000003</v>
      </c>
      <c r="O12">
        <v>796823</v>
      </c>
      <c r="P12" t="s">
        <v>13</v>
      </c>
      <c r="Q12">
        <v>102</v>
      </c>
      <c r="R12" t="s">
        <v>262</v>
      </c>
      <c r="S12" t="s">
        <v>263</v>
      </c>
      <c r="T12">
        <v>248.74510000000001</v>
      </c>
      <c r="W12" t="s">
        <v>15</v>
      </c>
      <c r="Y12">
        <v>1E-3</v>
      </c>
      <c r="AF12" t="s">
        <v>5</v>
      </c>
      <c r="AG12" t="s">
        <v>6</v>
      </c>
      <c r="AH12" s="1">
        <v>1</v>
      </c>
      <c r="AI12">
        <v>1E-3</v>
      </c>
      <c r="AJ12">
        <v>1000</v>
      </c>
      <c r="AK12">
        <v>1</v>
      </c>
      <c r="AM12">
        <v>1</v>
      </c>
      <c r="AN12">
        <v>248.74510000000001</v>
      </c>
      <c r="AO12">
        <v>7.8223795848694992E-3</v>
      </c>
      <c r="AP12" t="s">
        <v>0</v>
      </c>
      <c r="AQ12" t="s">
        <v>264</v>
      </c>
      <c r="AR12">
        <v>30358</v>
      </c>
      <c r="AS12" t="s">
        <v>265</v>
      </c>
      <c r="AT12">
        <v>2</v>
      </c>
      <c r="AU12">
        <v>1</v>
      </c>
      <c r="AV12" t="s">
        <v>266</v>
      </c>
      <c r="AW12">
        <v>0</v>
      </c>
      <c r="AX12">
        <v>50</v>
      </c>
      <c r="AY12">
        <v>50</v>
      </c>
      <c r="AZ12" t="s">
        <v>285</v>
      </c>
      <c r="BC12">
        <v>4</v>
      </c>
      <c r="BE12">
        <v>5</v>
      </c>
      <c r="BG12">
        <v>100</v>
      </c>
      <c r="BH12">
        <v>0</v>
      </c>
      <c r="BI12">
        <v>0</v>
      </c>
      <c r="BK12">
        <v>3.0673550000000001</v>
      </c>
      <c r="BL12">
        <v>3.0673550000000001</v>
      </c>
      <c r="BM12">
        <v>0</v>
      </c>
      <c r="BN12">
        <v>0.19348889999999999</v>
      </c>
      <c r="BO12">
        <v>0.19348889999999999</v>
      </c>
      <c r="BP12">
        <v>0</v>
      </c>
      <c r="BQ12">
        <v>0.15785514</v>
      </c>
      <c r="BR12">
        <v>0.16285514000000001</v>
      </c>
      <c r="BS12">
        <v>-5.0000000000000001E-3</v>
      </c>
      <c r="BT12">
        <v>6.0359172000000005E-4</v>
      </c>
      <c r="BU12">
        <v>2.7267961000000001E-4</v>
      </c>
      <c r="BV12" s="2">
        <v>5.5086983000000003E-5</v>
      </c>
      <c r="BW12" s="2">
        <v>1.6862043E-8</v>
      </c>
      <c r="BX12">
        <v>0</v>
      </c>
      <c r="BY12">
        <v>0</v>
      </c>
      <c r="BZ12">
        <v>6</v>
      </c>
      <c r="CA12">
        <v>3.0673550000000001</v>
      </c>
      <c r="CB12">
        <v>3.0673550000000001</v>
      </c>
      <c r="CC12">
        <v>0</v>
      </c>
      <c r="CD12">
        <v>0.19348889999999999</v>
      </c>
      <c r="CE12">
        <v>0.19348889999999999</v>
      </c>
      <c r="CF12">
        <v>0</v>
      </c>
      <c r="CG12">
        <v>0.15785514</v>
      </c>
      <c r="CH12">
        <v>0.16285514000000001</v>
      </c>
      <c r="CI12">
        <v>-5.0000000000000001E-3</v>
      </c>
      <c r="CJ12">
        <v>6.0359172000000005E-4</v>
      </c>
      <c r="CK12">
        <v>2.7267961000000001E-4</v>
      </c>
      <c r="CL12" s="2">
        <v>5.5086983000000003E-5</v>
      </c>
      <c r="CM12" s="2">
        <v>1.6862043E-8</v>
      </c>
      <c r="CN12">
        <v>0.20903325266667</v>
      </c>
      <c r="CO12">
        <v>99.362058679499995</v>
      </c>
      <c r="CP12">
        <v>2.3994015131546999E-2</v>
      </c>
      <c r="CQ12">
        <v>2.3994015131546999E-2</v>
      </c>
      <c r="CR12">
        <v>0</v>
      </c>
      <c r="CS12">
        <v>1.5135436212589E-3</v>
      </c>
      <c r="CT12">
        <v>1.5135436212589E-3</v>
      </c>
      <c r="CU12">
        <v>0</v>
      </c>
      <c r="CV12">
        <v>1.2348028245027E-3</v>
      </c>
      <c r="CW12">
        <v>1.2739147224271E-3</v>
      </c>
      <c r="CX12" s="2">
        <v>-3.9111897924348E-5</v>
      </c>
      <c r="CY12" s="2">
        <v>4.7215235481243003E-6</v>
      </c>
      <c r="CZ12" s="2">
        <v>2.1330034144742E-6</v>
      </c>
      <c r="DA12" s="2">
        <v>4.3091129121125998E-7</v>
      </c>
      <c r="DB12" s="2">
        <v>1.3190130092239001E-10</v>
      </c>
    </row>
    <row r="13" spans="1:106" x14ac:dyDescent="0.25">
      <c r="A13">
        <v>25868</v>
      </c>
      <c r="B13" t="s">
        <v>284</v>
      </c>
      <c r="C13">
        <v>50</v>
      </c>
      <c r="D13" t="s">
        <v>261</v>
      </c>
      <c r="E13">
        <v>2</v>
      </c>
      <c r="F13" t="s">
        <v>167</v>
      </c>
      <c r="G13">
        <v>31799.16</v>
      </c>
      <c r="H13" t="s">
        <v>0</v>
      </c>
      <c r="I13">
        <v>4</v>
      </c>
      <c r="J13">
        <v>31799.16</v>
      </c>
      <c r="L13">
        <v>92117.401014000003</v>
      </c>
      <c r="O13">
        <v>796823</v>
      </c>
      <c r="P13" t="s">
        <v>13</v>
      </c>
      <c r="Q13">
        <v>102</v>
      </c>
      <c r="R13" t="s">
        <v>262</v>
      </c>
      <c r="S13" t="s">
        <v>263</v>
      </c>
      <c r="T13">
        <v>248.74510000000001</v>
      </c>
      <c r="W13" t="s">
        <v>16</v>
      </c>
      <c r="Y13">
        <v>0.2</v>
      </c>
      <c r="AF13" t="s">
        <v>5</v>
      </c>
      <c r="AG13" t="s">
        <v>6</v>
      </c>
      <c r="AH13" s="1">
        <v>1</v>
      </c>
      <c r="AI13">
        <v>0.2</v>
      </c>
      <c r="AJ13">
        <v>2325</v>
      </c>
      <c r="AK13">
        <v>465</v>
      </c>
      <c r="AM13">
        <v>465</v>
      </c>
      <c r="AN13">
        <v>115666.4715</v>
      </c>
      <c r="AO13">
        <v>3.6374065069642998</v>
      </c>
      <c r="AP13" t="s">
        <v>0</v>
      </c>
      <c r="AQ13" t="s">
        <v>264</v>
      </c>
      <c r="AR13">
        <v>30358</v>
      </c>
      <c r="AS13" t="s">
        <v>265</v>
      </c>
      <c r="AT13">
        <v>3</v>
      </c>
      <c r="AU13">
        <v>1</v>
      </c>
      <c r="AV13" t="s">
        <v>266</v>
      </c>
      <c r="AW13">
        <v>0</v>
      </c>
      <c r="AX13">
        <v>100</v>
      </c>
      <c r="AY13">
        <v>100</v>
      </c>
      <c r="AZ13" t="s">
        <v>267</v>
      </c>
      <c r="BK13">
        <v>1.5660049</v>
      </c>
      <c r="BL13">
        <v>1.5660049</v>
      </c>
      <c r="BM13">
        <v>0</v>
      </c>
      <c r="BN13">
        <v>4.7475960999999997E-2</v>
      </c>
      <c r="BO13">
        <v>4.7475960999999997E-2</v>
      </c>
      <c r="BP13">
        <v>0</v>
      </c>
      <c r="BQ13">
        <v>0.15291231999999999</v>
      </c>
      <c r="BR13">
        <v>0.15291231999999999</v>
      </c>
      <c r="BS13">
        <v>0</v>
      </c>
      <c r="BT13">
        <v>3.9132148000000001E-4</v>
      </c>
      <c r="BU13">
        <v>2.4656103E-4</v>
      </c>
      <c r="BV13" s="2">
        <v>7.7190705E-5</v>
      </c>
      <c r="BW13" s="2">
        <v>4.5130751999999996E-9</v>
      </c>
      <c r="BX13">
        <v>0</v>
      </c>
      <c r="BY13">
        <v>0</v>
      </c>
      <c r="BZ13">
        <v>6</v>
      </c>
      <c r="CA13">
        <v>728.19227850000004</v>
      </c>
      <c r="CB13">
        <v>728.19227850000004</v>
      </c>
      <c r="CC13">
        <v>0</v>
      </c>
      <c r="CD13">
        <v>22.076321865000001</v>
      </c>
      <c r="CE13">
        <v>22.076321865000001</v>
      </c>
      <c r="CF13">
        <v>0</v>
      </c>
      <c r="CG13">
        <v>71.104228800000001</v>
      </c>
      <c r="CH13">
        <v>71.104228800000001</v>
      </c>
      <c r="CI13">
        <v>0</v>
      </c>
      <c r="CJ13">
        <v>0.1819644882</v>
      </c>
      <c r="CK13">
        <v>0.11465087894999999</v>
      </c>
      <c r="CL13">
        <v>3.5893677824999998E-2</v>
      </c>
      <c r="CM13" s="2">
        <v>2.0985799679999999E-6</v>
      </c>
      <c r="CN13">
        <v>60.385712509999998</v>
      </c>
      <c r="CO13">
        <v>99.362058679499995</v>
      </c>
      <c r="CP13">
        <v>5.6961964131979999</v>
      </c>
      <c r="CQ13">
        <v>5.6961964131979999</v>
      </c>
      <c r="CR13">
        <v>0</v>
      </c>
      <c r="CS13">
        <v>0.17268936946578001</v>
      </c>
      <c r="CT13">
        <v>0.17268936946578001</v>
      </c>
      <c r="CU13">
        <v>0</v>
      </c>
      <c r="CV13">
        <v>0.55620426776301002</v>
      </c>
      <c r="CW13">
        <v>0.55620426776301002</v>
      </c>
      <c r="CX13">
        <v>0</v>
      </c>
      <c r="CY13">
        <v>1.4233952976669001E-3</v>
      </c>
      <c r="CZ13">
        <v>8.9684269488582999E-4</v>
      </c>
      <c r="DA13">
        <v>2.8077397264415999E-4</v>
      </c>
      <c r="DB13" s="2">
        <v>1.6415889098898998E-8</v>
      </c>
    </row>
    <row r="14" spans="1:106" x14ac:dyDescent="0.25">
      <c r="A14">
        <v>25868</v>
      </c>
      <c r="B14" t="s">
        <v>284</v>
      </c>
      <c r="C14">
        <v>50</v>
      </c>
      <c r="D14" t="s">
        <v>261</v>
      </c>
      <c r="E14">
        <v>2</v>
      </c>
      <c r="F14" t="s">
        <v>167</v>
      </c>
      <c r="G14">
        <v>31799.16</v>
      </c>
      <c r="H14" t="s">
        <v>0</v>
      </c>
      <c r="I14">
        <v>4</v>
      </c>
      <c r="J14">
        <v>31799.16</v>
      </c>
      <c r="L14">
        <v>92117.401014000003</v>
      </c>
      <c r="O14">
        <v>796823</v>
      </c>
      <c r="P14" t="s">
        <v>13</v>
      </c>
      <c r="Q14">
        <v>102</v>
      </c>
      <c r="R14" t="s">
        <v>262</v>
      </c>
      <c r="S14" t="s">
        <v>263</v>
      </c>
      <c r="T14">
        <v>248.74510000000001</v>
      </c>
      <c r="V14">
        <v>2142730648</v>
      </c>
      <c r="W14" t="s">
        <v>17</v>
      </c>
      <c r="Y14">
        <v>0.18</v>
      </c>
      <c r="AF14" t="s">
        <v>5</v>
      </c>
      <c r="AG14" t="s">
        <v>6</v>
      </c>
      <c r="AH14" s="1">
        <v>1</v>
      </c>
      <c r="AI14">
        <v>0.18</v>
      </c>
      <c r="AJ14">
        <v>110</v>
      </c>
      <c r="AK14">
        <v>19.8</v>
      </c>
      <c r="AM14">
        <v>19.8</v>
      </c>
      <c r="AN14">
        <v>4925.1529799999998</v>
      </c>
      <c r="AO14">
        <v>0.15488311578041999</v>
      </c>
      <c r="AP14" t="s">
        <v>0</v>
      </c>
      <c r="AQ14" t="s">
        <v>264</v>
      </c>
      <c r="AR14">
        <v>30358</v>
      </c>
      <c r="AS14" t="s">
        <v>265</v>
      </c>
      <c r="AT14">
        <v>4</v>
      </c>
      <c r="AU14">
        <v>1</v>
      </c>
      <c r="AV14" t="s">
        <v>266</v>
      </c>
      <c r="AW14">
        <v>0</v>
      </c>
      <c r="AX14">
        <v>50</v>
      </c>
      <c r="AY14">
        <v>50</v>
      </c>
      <c r="AZ14" t="s">
        <v>285</v>
      </c>
      <c r="BC14">
        <v>4</v>
      </c>
      <c r="BE14">
        <v>3</v>
      </c>
      <c r="BG14">
        <v>100</v>
      </c>
      <c r="BH14">
        <v>0</v>
      </c>
      <c r="BI14">
        <v>0</v>
      </c>
      <c r="BK14">
        <v>21.343074999999999</v>
      </c>
      <c r="BL14">
        <v>21.343074999999999</v>
      </c>
      <c r="BM14">
        <v>0</v>
      </c>
      <c r="BN14">
        <v>0.78469758000000001</v>
      </c>
      <c r="BO14">
        <v>0.78469758000000001</v>
      </c>
      <c r="BP14">
        <v>0</v>
      </c>
      <c r="BQ14">
        <v>1.7409311000000001</v>
      </c>
      <c r="BR14">
        <v>1.7409311000000001</v>
      </c>
      <c r="BS14">
        <v>0</v>
      </c>
      <c r="BT14">
        <v>1.1809325000000001E-2</v>
      </c>
      <c r="BU14">
        <v>3.1100953999999999E-3</v>
      </c>
      <c r="BV14">
        <v>5.0632319000000004E-3</v>
      </c>
      <c r="BW14" s="2">
        <v>7.0109999999999997E-8</v>
      </c>
      <c r="BX14">
        <v>0</v>
      </c>
      <c r="BY14">
        <v>0</v>
      </c>
      <c r="BZ14">
        <v>6</v>
      </c>
      <c r="CA14">
        <v>422.59288500000002</v>
      </c>
      <c r="CB14">
        <v>422.59288500000002</v>
      </c>
      <c r="CC14">
        <v>0</v>
      </c>
      <c r="CD14">
        <v>15.537012084000001</v>
      </c>
      <c r="CE14">
        <v>15.537012084000001</v>
      </c>
      <c r="CF14">
        <v>0</v>
      </c>
      <c r="CG14">
        <v>34.470435780000003</v>
      </c>
      <c r="CH14">
        <v>34.470435780000003</v>
      </c>
      <c r="CI14">
        <v>0</v>
      </c>
      <c r="CJ14">
        <v>0.233824635</v>
      </c>
      <c r="CK14">
        <v>6.1579888919999999E-2</v>
      </c>
      <c r="CL14">
        <v>0.10025199161999999</v>
      </c>
      <c r="CM14" s="2">
        <v>1.3881779999999999E-6</v>
      </c>
      <c r="CN14">
        <v>51.008120130000002</v>
      </c>
      <c r="CO14">
        <v>99.362058679499995</v>
      </c>
      <c r="CP14">
        <v>3.3056819563350999</v>
      </c>
      <c r="CQ14">
        <v>3.3056819563350999</v>
      </c>
      <c r="CR14">
        <v>0</v>
      </c>
      <c r="CS14">
        <v>0.12153640613574999</v>
      </c>
      <c r="CT14">
        <v>0.12153640613574999</v>
      </c>
      <c r="CU14">
        <v>0</v>
      </c>
      <c r="CV14">
        <v>0.26964083312703002</v>
      </c>
      <c r="CW14">
        <v>0.26964083312703002</v>
      </c>
      <c r="CX14">
        <v>0</v>
      </c>
      <c r="CY14">
        <v>1.8290650512636001E-3</v>
      </c>
      <c r="CZ14">
        <v>4.8170126592633999E-4</v>
      </c>
      <c r="DA14">
        <v>7.8420913259080001E-4</v>
      </c>
      <c r="DB14" s="2">
        <v>1.0858855247365E-8</v>
      </c>
    </row>
    <row r="15" spans="1:106" x14ac:dyDescent="0.25">
      <c r="A15">
        <v>25868</v>
      </c>
      <c r="B15" t="s">
        <v>284</v>
      </c>
      <c r="C15">
        <v>50</v>
      </c>
      <c r="D15" t="s">
        <v>261</v>
      </c>
      <c r="E15">
        <v>2</v>
      </c>
      <c r="F15" t="s">
        <v>167</v>
      </c>
      <c r="G15">
        <v>31799.16</v>
      </c>
      <c r="H15" t="s">
        <v>0</v>
      </c>
      <c r="I15">
        <v>4</v>
      </c>
      <c r="J15">
        <v>31799.16</v>
      </c>
      <c r="L15">
        <v>92117.401014000003</v>
      </c>
      <c r="O15">
        <v>796823</v>
      </c>
      <c r="P15" t="s">
        <v>13</v>
      </c>
      <c r="Q15">
        <v>102</v>
      </c>
      <c r="R15" t="s">
        <v>262</v>
      </c>
      <c r="S15" t="s">
        <v>263</v>
      </c>
      <c r="T15">
        <v>248.74510000000001</v>
      </c>
      <c r="V15">
        <v>2142718766</v>
      </c>
      <c r="W15" t="s">
        <v>10</v>
      </c>
      <c r="Y15">
        <v>1E-3</v>
      </c>
      <c r="AF15" t="s">
        <v>5</v>
      </c>
      <c r="AG15" t="s">
        <v>6</v>
      </c>
      <c r="AH15" s="1">
        <v>1</v>
      </c>
      <c r="AI15">
        <v>1E-3</v>
      </c>
      <c r="AJ15">
        <v>300</v>
      </c>
      <c r="AK15">
        <v>0.3</v>
      </c>
      <c r="AM15">
        <v>0.3</v>
      </c>
      <c r="AN15">
        <v>74.623530000000002</v>
      </c>
      <c r="AO15">
        <v>2.3467138754608998E-3</v>
      </c>
      <c r="AP15" t="s">
        <v>0</v>
      </c>
      <c r="AQ15" t="s">
        <v>264</v>
      </c>
      <c r="AR15">
        <v>30358</v>
      </c>
      <c r="AS15" t="s">
        <v>265</v>
      </c>
      <c r="AT15">
        <v>5</v>
      </c>
      <c r="AU15">
        <v>1</v>
      </c>
      <c r="AV15" t="s">
        <v>266</v>
      </c>
      <c r="AW15">
        <v>1</v>
      </c>
      <c r="AX15">
        <v>25</v>
      </c>
      <c r="AY15">
        <v>25</v>
      </c>
      <c r="AZ15" t="s">
        <v>286</v>
      </c>
      <c r="BC15">
        <v>3</v>
      </c>
      <c r="BE15">
        <v>3</v>
      </c>
      <c r="BG15">
        <v>0</v>
      </c>
      <c r="BH15">
        <v>100</v>
      </c>
      <c r="BI15">
        <v>0</v>
      </c>
      <c r="BK15">
        <v>85.988403000000005</v>
      </c>
      <c r="BL15">
        <v>43.518402999999999</v>
      </c>
      <c r="BM15">
        <v>42.47</v>
      </c>
      <c r="BN15">
        <v>1.3022769000000001</v>
      </c>
      <c r="BO15">
        <v>1.3022769000000001</v>
      </c>
      <c r="BP15">
        <v>0</v>
      </c>
      <c r="BQ15">
        <v>2.8430924000000002</v>
      </c>
      <c r="BR15">
        <v>2.8640924000000001</v>
      </c>
      <c r="BS15">
        <v>-2.1000000000000001E-2</v>
      </c>
      <c r="BT15">
        <v>8.3217996000000006E-3</v>
      </c>
      <c r="BU15">
        <v>1.6064606999999999E-3</v>
      </c>
      <c r="BV15">
        <v>2.4785428000000001E-3</v>
      </c>
      <c r="BW15" s="2">
        <v>3.9116873999999998E-8</v>
      </c>
      <c r="BX15">
        <v>0</v>
      </c>
      <c r="BY15">
        <v>0</v>
      </c>
      <c r="BZ15">
        <v>6</v>
      </c>
      <c r="CA15">
        <v>51.593041800000002</v>
      </c>
      <c r="CB15">
        <v>26.111041799999999</v>
      </c>
      <c r="CC15">
        <v>25.481999999999999</v>
      </c>
      <c r="CD15">
        <v>0.78136614000000004</v>
      </c>
      <c r="CE15">
        <v>0.78136614000000004</v>
      </c>
      <c r="CF15">
        <v>0</v>
      </c>
      <c r="CG15">
        <v>1.7121554400000001</v>
      </c>
      <c r="CH15">
        <v>1.7184554400000001</v>
      </c>
      <c r="CI15">
        <v>-6.3E-3</v>
      </c>
      <c r="CJ15">
        <v>4.9930797599999997E-3</v>
      </c>
      <c r="CK15">
        <v>9.6387641999999996E-4</v>
      </c>
      <c r="CL15">
        <v>1.4871256800000001E-3</v>
      </c>
      <c r="CM15" s="2">
        <v>2.3470124400000001E-8</v>
      </c>
      <c r="CN15">
        <v>2.670871268</v>
      </c>
      <c r="CO15">
        <v>99.362058679499995</v>
      </c>
      <c r="CP15">
        <v>0.40358035689763999</v>
      </c>
      <c r="CQ15">
        <v>0.20425048031599999</v>
      </c>
      <c r="CR15">
        <v>0.19932987658165</v>
      </c>
      <c r="CS15">
        <v>6.1121425418443004E-3</v>
      </c>
      <c r="CT15">
        <v>6.1121425418443004E-3</v>
      </c>
      <c r="CU15">
        <v>0</v>
      </c>
      <c r="CV15">
        <v>1.3393129759979E-2</v>
      </c>
      <c r="CW15">
        <v>1.3442410751364001E-2</v>
      </c>
      <c r="CX15" s="2">
        <v>-4.9280991384678E-5</v>
      </c>
      <c r="CY15" s="2">
        <v>3.9057765180248999E-5</v>
      </c>
      <c r="CZ15" s="2">
        <v>7.5398072301450997E-6</v>
      </c>
      <c r="DA15" s="2">
        <v>1.1632861559367001E-5</v>
      </c>
      <c r="DB15" s="2">
        <v>1.8359222196090999E-10</v>
      </c>
    </row>
    <row r="16" spans="1:106" x14ac:dyDescent="0.25">
      <c r="A16">
        <v>25868</v>
      </c>
      <c r="B16" t="s">
        <v>284</v>
      </c>
      <c r="C16">
        <v>50</v>
      </c>
      <c r="D16" t="s">
        <v>261</v>
      </c>
      <c r="E16">
        <v>2</v>
      </c>
      <c r="F16" t="s">
        <v>167</v>
      </c>
      <c r="G16">
        <v>31799.16</v>
      </c>
      <c r="H16" t="s">
        <v>0</v>
      </c>
      <c r="I16">
        <v>4</v>
      </c>
      <c r="J16">
        <v>31799.16</v>
      </c>
      <c r="L16">
        <v>92117.401014000003</v>
      </c>
      <c r="O16">
        <v>796823</v>
      </c>
      <c r="P16" t="s">
        <v>13</v>
      </c>
      <c r="Q16">
        <v>102</v>
      </c>
      <c r="R16" t="s">
        <v>262</v>
      </c>
      <c r="S16" t="s">
        <v>263</v>
      </c>
      <c r="T16">
        <v>248.74510000000001</v>
      </c>
      <c r="W16" t="s">
        <v>11</v>
      </c>
      <c r="Y16">
        <v>0.05</v>
      </c>
      <c r="AF16" t="s">
        <v>5</v>
      </c>
      <c r="AG16" t="s">
        <v>6</v>
      </c>
      <c r="AH16" s="1">
        <v>1</v>
      </c>
      <c r="AI16">
        <v>0.05</v>
      </c>
      <c r="AJ16">
        <v>475</v>
      </c>
      <c r="AK16">
        <v>23.75</v>
      </c>
      <c r="AM16">
        <v>23.75</v>
      </c>
      <c r="AN16">
        <v>5907.6961250000004</v>
      </c>
      <c r="AO16">
        <v>0.18578151514065</v>
      </c>
      <c r="AP16" t="s">
        <v>0</v>
      </c>
      <c r="AQ16" t="s">
        <v>264</v>
      </c>
      <c r="AR16">
        <v>30358</v>
      </c>
      <c r="AS16" t="s">
        <v>265</v>
      </c>
      <c r="AT16">
        <v>6</v>
      </c>
      <c r="AU16">
        <v>1</v>
      </c>
      <c r="AV16" t="s">
        <v>266</v>
      </c>
      <c r="AW16">
        <v>0</v>
      </c>
      <c r="AX16">
        <v>50</v>
      </c>
      <c r="AY16">
        <v>50</v>
      </c>
      <c r="AZ16" t="s">
        <v>285</v>
      </c>
      <c r="BC16">
        <v>1</v>
      </c>
      <c r="BE16">
        <v>1</v>
      </c>
      <c r="BG16">
        <v>0</v>
      </c>
      <c r="BH16">
        <v>100</v>
      </c>
      <c r="BI16">
        <v>0</v>
      </c>
      <c r="BK16">
        <v>9.2021829000000004</v>
      </c>
      <c r="BL16">
        <v>8.8285628999999997</v>
      </c>
      <c r="BM16">
        <v>0.37362000000000001</v>
      </c>
      <c r="BN16">
        <v>17.684211000000001</v>
      </c>
      <c r="BO16">
        <v>0.63333099999999998</v>
      </c>
      <c r="BP16">
        <v>17.050879999999999</v>
      </c>
      <c r="BQ16">
        <v>-0.32528815</v>
      </c>
      <c r="BR16">
        <v>0.51016185000000003</v>
      </c>
      <c r="BS16">
        <v>-0.83545000000000003</v>
      </c>
      <c r="BT16">
        <v>2.8813898000000001E-3</v>
      </c>
      <c r="BU16">
        <v>1.3804499E-3</v>
      </c>
      <c r="BV16">
        <v>1.0392354E-3</v>
      </c>
      <c r="BW16" s="2">
        <v>4.4076999999999998E-8</v>
      </c>
      <c r="BX16">
        <v>0</v>
      </c>
      <c r="BY16">
        <v>0</v>
      </c>
      <c r="BZ16">
        <v>6</v>
      </c>
      <c r="CA16">
        <v>218.551843875</v>
      </c>
      <c r="CB16">
        <v>209.67836887499999</v>
      </c>
      <c r="CC16">
        <v>8.8734749999999991</v>
      </c>
      <c r="CD16">
        <v>420.00001125</v>
      </c>
      <c r="CE16">
        <v>15.041611250000001</v>
      </c>
      <c r="CF16">
        <v>404.95839999999998</v>
      </c>
      <c r="CG16">
        <v>-7.7255935625000003</v>
      </c>
      <c r="CH16">
        <v>12.1163439375</v>
      </c>
      <c r="CI16">
        <v>-19.8419375</v>
      </c>
      <c r="CJ16">
        <v>6.8433007749999997E-2</v>
      </c>
      <c r="CK16">
        <v>3.2785685124999998E-2</v>
      </c>
      <c r="CL16">
        <v>2.468184075E-2</v>
      </c>
      <c r="CM16" s="2">
        <v>1.04682875E-6</v>
      </c>
      <c r="CN16">
        <v>15.121863568749999</v>
      </c>
      <c r="CO16">
        <v>99.362058679499995</v>
      </c>
      <c r="CP16">
        <v>1.7095954817634</v>
      </c>
      <c r="CQ16">
        <v>1.6401837920764999</v>
      </c>
      <c r="CR16">
        <v>6.9411689686850006E-2</v>
      </c>
      <c r="CS16">
        <v>3.285399513647</v>
      </c>
      <c r="CT16">
        <v>0.11766119276554</v>
      </c>
      <c r="CU16">
        <v>3.1677383208814001</v>
      </c>
      <c r="CV16">
        <v>-6.0432525364300001E-2</v>
      </c>
      <c r="CW16">
        <v>9.4778641459957999E-2</v>
      </c>
      <c r="CX16">
        <v>-0.15521116682426001</v>
      </c>
      <c r="CY16">
        <v>5.3530896275481995E-4</v>
      </c>
      <c r="CZ16">
        <v>2.5646207399776001E-4</v>
      </c>
      <c r="DA16">
        <v>1.9307072719979999E-4</v>
      </c>
      <c r="DB16" s="2">
        <v>8.1886918428544995E-9</v>
      </c>
    </row>
    <row r="17" spans="1:106" x14ac:dyDescent="0.25">
      <c r="A17">
        <v>25868</v>
      </c>
      <c r="B17" t="s">
        <v>284</v>
      </c>
      <c r="C17">
        <v>50</v>
      </c>
      <c r="D17" t="s">
        <v>261</v>
      </c>
      <c r="E17">
        <v>2</v>
      </c>
      <c r="F17" t="s">
        <v>167</v>
      </c>
      <c r="G17">
        <v>31799.16</v>
      </c>
      <c r="H17" t="s">
        <v>0</v>
      </c>
      <c r="I17">
        <v>4</v>
      </c>
      <c r="J17">
        <v>31799.16</v>
      </c>
      <c r="L17">
        <v>92117.401014000003</v>
      </c>
      <c r="O17">
        <v>796823</v>
      </c>
      <c r="P17" t="s">
        <v>13</v>
      </c>
      <c r="Q17">
        <v>102</v>
      </c>
      <c r="R17" t="s">
        <v>262</v>
      </c>
      <c r="S17" t="s">
        <v>263</v>
      </c>
      <c r="T17">
        <v>248.74510000000001</v>
      </c>
      <c r="V17">
        <v>2142704948</v>
      </c>
      <c r="W17" t="s">
        <v>12</v>
      </c>
      <c r="Y17">
        <v>1.9E-2</v>
      </c>
      <c r="AF17" t="s">
        <v>5</v>
      </c>
      <c r="AG17" t="s">
        <v>6</v>
      </c>
      <c r="AH17" s="1">
        <v>1</v>
      </c>
      <c r="AI17">
        <v>1.9E-2</v>
      </c>
      <c r="AJ17">
        <v>450</v>
      </c>
      <c r="AK17">
        <v>8.5500000000000007</v>
      </c>
      <c r="AM17">
        <v>8.5500000000000007</v>
      </c>
      <c r="AN17">
        <v>2126.7706050000002</v>
      </c>
      <c r="AO17">
        <v>6.6881345450634996E-2</v>
      </c>
      <c r="AP17" t="s">
        <v>0</v>
      </c>
      <c r="AQ17" t="s">
        <v>264</v>
      </c>
      <c r="AR17">
        <v>30358</v>
      </c>
      <c r="AS17" t="s">
        <v>265</v>
      </c>
      <c r="AT17">
        <v>7</v>
      </c>
      <c r="AU17">
        <v>1</v>
      </c>
      <c r="AV17" t="s">
        <v>266</v>
      </c>
      <c r="AW17">
        <v>0</v>
      </c>
      <c r="AX17">
        <v>50</v>
      </c>
      <c r="AY17">
        <v>50</v>
      </c>
      <c r="AZ17" t="s">
        <v>285</v>
      </c>
      <c r="BC17">
        <v>1</v>
      </c>
      <c r="BE17">
        <v>1</v>
      </c>
      <c r="BG17">
        <v>0</v>
      </c>
      <c r="BH17">
        <v>100</v>
      </c>
      <c r="BI17">
        <v>0</v>
      </c>
      <c r="BK17">
        <v>9.2021829000000004</v>
      </c>
      <c r="BL17">
        <v>8.8285628999999997</v>
      </c>
      <c r="BM17">
        <v>0.37362000000000001</v>
      </c>
      <c r="BN17">
        <v>17.684211000000001</v>
      </c>
      <c r="BO17">
        <v>0.63333099999999998</v>
      </c>
      <c r="BP17">
        <v>17.050879999999999</v>
      </c>
      <c r="BQ17">
        <v>-0.32528815</v>
      </c>
      <c r="BR17">
        <v>0.51016185000000003</v>
      </c>
      <c r="BS17">
        <v>-0.83545000000000003</v>
      </c>
      <c r="BT17">
        <v>2.8813898000000001E-3</v>
      </c>
      <c r="BU17">
        <v>1.3804499E-3</v>
      </c>
      <c r="BV17">
        <v>1.0392354E-3</v>
      </c>
      <c r="BW17" s="2">
        <v>4.4076999999999998E-8</v>
      </c>
      <c r="BX17">
        <v>0</v>
      </c>
      <c r="BY17">
        <v>0</v>
      </c>
      <c r="BZ17">
        <v>6</v>
      </c>
      <c r="CA17">
        <v>78.678663795000006</v>
      </c>
      <c r="CB17">
        <v>75.484212795000005</v>
      </c>
      <c r="CC17">
        <v>3.1944509999999999</v>
      </c>
      <c r="CD17">
        <v>151.20000404999999</v>
      </c>
      <c r="CE17">
        <v>5.4149800499999996</v>
      </c>
      <c r="CF17">
        <v>145.78502399999999</v>
      </c>
      <c r="CG17">
        <v>-2.7812136824999998</v>
      </c>
      <c r="CH17">
        <v>4.3618838174999999</v>
      </c>
      <c r="CI17">
        <v>-7.1430974999999997</v>
      </c>
      <c r="CJ17">
        <v>2.4635882790000001E-2</v>
      </c>
      <c r="CK17">
        <v>1.1802846645E-2</v>
      </c>
      <c r="CL17">
        <v>8.8854626700000001E-3</v>
      </c>
      <c r="CM17" s="2">
        <v>3.7685835E-7</v>
      </c>
      <c r="CN17">
        <v>5.4438708847499999</v>
      </c>
      <c r="CO17">
        <v>99.362058679499995</v>
      </c>
      <c r="CP17">
        <v>0.61545437343482001</v>
      </c>
      <c r="CQ17">
        <v>0.59046616514756001</v>
      </c>
      <c r="CR17">
        <v>2.4988208287266001E-2</v>
      </c>
      <c r="CS17">
        <v>1.1827438249129001</v>
      </c>
      <c r="CT17">
        <v>4.2358029395595999E-2</v>
      </c>
      <c r="CU17">
        <v>1.1403857955173</v>
      </c>
      <c r="CV17">
        <v>-2.1755709131148E-2</v>
      </c>
      <c r="CW17">
        <v>3.4120310925584998E-2</v>
      </c>
      <c r="CX17">
        <v>-5.5876020056732999E-2</v>
      </c>
      <c r="CY17">
        <v>1.9271122659173E-4</v>
      </c>
      <c r="CZ17" s="2">
        <v>9.2326346639194003E-5</v>
      </c>
      <c r="DA17" s="2">
        <v>6.9505461791928E-5</v>
      </c>
      <c r="DB17" s="2">
        <v>2.9479290634276E-9</v>
      </c>
    </row>
    <row r="18" spans="1:106" x14ac:dyDescent="0.25">
      <c r="A18">
        <v>25868</v>
      </c>
      <c r="B18" t="s">
        <v>284</v>
      </c>
      <c r="C18">
        <v>50</v>
      </c>
      <c r="D18" t="s">
        <v>261</v>
      </c>
      <c r="E18">
        <v>2</v>
      </c>
      <c r="F18" t="s">
        <v>167</v>
      </c>
      <c r="G18">
        <v>31799.16</v>
      </c>
      <c r="H18" t="s">
        <v>0</v>
      </c>
      <c r="I18">
        <v>4</v>
      </c>
      <c r="J18">
        <v>31799.16</v>
      </c>
      <c r="L18">
        <v>92117.401014000003</v>
      </c>
      <c r="O18">
        <v>796831</v>
      </c>
      <c r="P18" t="s">
        <v>18</v>
      </c>
      <c r="Q18">
        <v>102</v>
      </c>
      <c r="R18" t="s">
        <v>262</v>
      </c>
      <c r="S18" t="s">
        <v>263</v>
      </c>
      <c r="T18">
        <v>2164.2346499999999</v>
      </c>
      <c r="V18">
        <v>2142685464</v>
      </c>
      <c r="W18" t="s">
        <v>14</v>
      </c>
      <c r="Y18">
        <v>2E-3</v>
      </c>
      <c r="AF18" t="s">
        <v>5</v>
      </c>
      <c r="AG18" t="s">
        <v>6</v>
      </c>
      <c r="AH18" s="1">
        <v>1</v>
      </c>
      <c r="AI18">
        <v>2E-3</v>
      </c>
      <c r="AJ18">
        <v>1300</v>
      </c>
      <c r="AK18">
        <v>2.6</v>
      </c>
      <c r="AM18">
        <v>2.6</v>
      </c>
      <c r="AN18">
        <v>5627.0100899999998</v>
      </c>
      <c r="AO18">
        <v>0.17695467710467999</v>
      </c>
      <c r="AP18" t="s">
        <v>0</v>
      </c>
      <c r="AQ18" t="s">
        <v>264</v>
      </c>
      <c r="AR18">
        <v>30358</v>
      </c>
      <c r="AS18" t="s">
        <v>265</v>
      </c>
      <c r="AT18">
        <v>1</v>
      </c>
      <c r="AU18">
        <v>1</v>
      </c>
      <c r="AV18" t="s">
        <v>266</v>
      </c>
      <c r="AW18">
        <v>1</v>
      </c>
      <c r="AX18">
        <v>35</v>
      </c>
      <c r="AY18">
        <v>35</v>
      </c>
      <c r="AZ18" t="s">
        <v>287</v>
      </c>
      <c r="BC18">
        <v>2</v>
      </c>
      <c r="BE18">
        <v>3</v>
      </c>
      <c r="BG18">
        <v>100</v>
      </c>
      <c r="BH18">
        <v>0</v>
      </c>
      <c r="BI18">
        <v>0</v>
      </c>
      <c r="BK18">
        <v>2.0832495</v>
      </c>
      <c r="BL18">
        <v>2.0832495</v>
      </c>
      <c r="BM18">
        <v>0</v>
      </c>
      <c r="BN18">
        <v>0.32445808999999998</v>
      </c>
      <c r="BO18">
        <v>0.32445808999999998</v>
      </c>
      <c r="BP18">
        <v>0</v>
      </c>
      <c r="BQ18">
        <v>0.17529323999999999</v>
      </c>
      <c r="BR18">
        <v>0.17729323999999999</v>
      </c>
      <c r="BS18">
        <v>-2E-3</v>
      </c>
      <c r="BT18">
        <v>4.9332165000000002E-4</v>
      </c>
      <c r="BU18">
        <v>2.038571E-4</v>
      </c>
      <c r="BV18" s="2">
        <v>6.4315664999999996E-5</v>
      </c>
      <c r="BW18" s="2">
        <v>1.4918986000000002E-8</v>
      </c>
      <c r="BX18">
        <v>0</v>
      </c>
      <c r="BY18">
        <v>0</v>
      </c>
      <c r="BZ18">
        <v>6</v>
      </c>
      <c r="CA18">
        <v>10.8328974</v>
      </c>
      <c r="CB18">
        <v>10.8328974</v>
      </c>
      <c r="CC18">
        <v>0</v>
      </c>
      <c r="CD18">
        <v>1.687182068</v>
      </c>
      <c r="CE18">
        <v>1.687182068</v>
      </c>
      <c r="CF18">
        <v>0</v>
      </c>
      <c r="CG18">
        <v>0.91672484799999998</v>
      </c>
      <c r="CH18">
        <v>0.92192484799999996</v>
      </c>
      <c r="CI18">
        <v>-5.1999999999999998E-3</v>
      </c>
      <c r="CJ18">
        <v>2.5652725799999998E-3</v>
      </c>
      <c r="CK18">
        <v>1.06005692E-3</v>
      </c>
      <c r="CL18">
        <v>3.34441458E-4</v>
      </c>
      <c r="CM18" s="2">
        <v>7.7578727200000002E-8</v>
      </c>
      <c r="CN18">
        <v>0.85592039866667002</v>
      </c>
      <c r="CO18">
        <v>91.142185072467001</v>
      </c>
      <c r="CP18">
        <v>0.73728148520196002</v>
      </c>
      <c r="CQ18">
        <v>0.73728148520196002</v>
      </c>
      <c r="CR18">
        <v>0</v>
      </c>
      <c r="CS18">
        <v>0.1148287530999</v>
      </c>
      <c r="CT18">
        <v>0.1148287530999</v>
      </c>
      <c r="CU18">
        <v>0</v>
      </c>
      <c r="CV18">
        <v>6.2391826719874997E-2</v>
      </c>
      <c r="CW18">
        <v>6.2745736074083999E-2</v>
      </c>
      <c r="CX18">
        <v>-3.5390935420935999E-4</v>
      </c>
      <c r="CY18">
        <v>1.7459114656899E-4</v>
      </c>
      <c r="CZ18" s="2">
        <v>7.2146934611992002E-5</v>
      </c>
      <c r="DA18" s="2">
        <v>2.2761915465694998E-5</v>
      </c>
      <c r="DB18" s="2">
        <v>5.2799687007183997E-9</v>
      </c>
    </row>
    <row r="19" spans="1:106" x14ac:dyDescent="0.25">
      <c r="A19">
        <v>25868</v>
      </c>
      <c r="B19" t="s">
        <v>284</v>
      </c>
      <c r="C19">
        <v>50</v>
      </c>
      <c r="D19" t="s">
        <v>261</v>
      </c>
      <c r="E19">
        <v>2</v>
      </c>
      <c r="F19" t="s">
        <v>167</v>
      </c>
      <c r="G19">
        <v>31799.16</v>
      </c>
      <c r="H19" t="s">
        <v>0</v>
      </c>
      <c r="I19">
        <v>4</v>
      </c>
      <c r="J19">
        <v>31799.16</v>
      </c>
      <c r="L19">
        <v>92117.401014000003</v>
      </c>
      <c r="O19">
        <v>796831</v>
      </c>
      <c r="P19" t="s">
        <v>18</v>
      </c>
      <c r="Q19">
        <v>102</v>
      </c>
      <c r="R19" t="s">
        <v>262</v>
      </c>
      <c r="S19" t="s">
        <v>263</v>
      </c>
      <c r="T19">
        <v>2164.2346499999999</v>
      </c>
      <c r="W19" t="s">
        <v>15</v>
      </c>
      <c r="Y19">
        <v>2E-3</v>
      </c>
      <c r="AF19" t="s">
        <v>5</v>
      </c>
      <c r="AG19" t="s">
        <v>6</v>
      </c>
      <c r="AH19" s="1">
        <v>1</v>
      </c>
      <c r="AI19">
        <v>2E-3</v>
      </c>
      <c r="AJ19">
        <v>1000</v>
      </c>
      <c r="AK19">
        <v>2</v>
      </c>
      <c r="AM19">
        <v>2</v>
      </c>
      <c r="AN19">
        <v>4328.4692999999997</v>
      </c>
      <c r="AO19">
        <v>0.13611898238820999</v>
      </c>
      <c r="AP19" t="s">
        <v>0</v>
      </c>
      <c r="AQ19" t="s">
        <v>264</v>
      </c>
      <c r="AR19">
        <v>30358</v>
      </c>
      <c r="AS19" t="s">
        <v>265</v>
      </c>
      <c r="AT19">
        <v>2</v>
      </c>
      <c r="AU19">
        <v>1</v>
      </c>
      <c r="AV19" t="s">
        <v>266</v>
      </c>
      <c r="AW19">
        <v>0</v>
      </c>
      <c r="AX19">
        <v>50</v>
      </c>
      <c r="AY19">
        <v>50</v>
      </c>
      <c r="AZ19" t="s">
        <v>285</v>
      </c>
      <c r="BC19">
        <v>4</v>
      </c>
      <c r="BE19">
        <v>5</v>
      </c>
      <c r="BG19">
        <v>100</v>
      </c>
      <c r="BH19">
        <v>0</v>
      </c>
      <c r="BI19">
        <v>0</v>
      </c>
      <c r="BK19">
        <v>3.0673550000000001</v>
      </c>
      <c r="BL19">
        <v>3.0673550000000001</v>
      </c>
      <c r="BM19">
        <v>0</v>
      </c>
      <c r="BN19">
        <v>0.19348889999999999</v>
      </c>
      <c r="BO19">
        <v>0.19348889999999999</v>
      </c>
      <c r="BP19">
        <v>0</v>
      </c>
      <c r="BQ19">
        <v>0.15785514</v>
      </c>
      <c r="BR19">
        <v>0.16285514000000001</v>
      </c>
      <c r="BS19">
        <v>-5.0000000000000001E-3</v>
      </c>
      <c r="BT19">
        <v>6.0359172000000005E-4</v>
      </c>
      <c r="BU19">
        <v>2.7267961000000001E-4</v>
      </c>
      <c r="BV19" s="2">
        <v>5.5086983000000003E-5</v>
      </c>
      <c r="BW19" s="2">
        <v>1.6862043E-8</v>
      </c>
      <c r="BX19">
        <v>0</v>
      </c>
      <c r="BY19">
        <v>0</v>
      </c>
      <c r="BZ19">
        <v>6</v>
      </c>
      <c r="CA19">
        <v>6.1347100000000001</v>
      </c>
      <c r="CB19">
        <v>6.1347100000000001</v>
      </c>
      <c r="CC19">
        <v>0</v>
      </c>
      <c r="CD19">
        <v>0.38697779999999998</v>
      </c>
      <c r="CE19">
        <v>0.38697779999999998</v>
      </c>
      <c r="CF19">
        <v>0</v>
      </c>
      <c r="CG19">
        <v>0.31571028000000001</v>
      </c>
      <c r="CH19">
        <v>0.32571028000000002</v>
      </c>
      <c r="CI19">
        <v>-0.01</v>
      </c>
      <c r="CJ19">
        <v>1.2071834400000001E-3</v>
      </c>
      <c r="CK19">
        <v>5.4535922000000002E-4</v>
      </c>
      <c r="CL19">
        <v>1.1017396600000001E-4</v>
      </c>
      <c r="CM19" s="2">
        <v>3.3724085999999999E-8</v>
      </c>
      <c r="CN19">
        <v>0.41806650533333001</v>
      </c>
      <c r="CO19">
        <v>91.142185072467001</v>
      </c>
      <c r="CP19">
        <v>0.41752524122340001</v>
      </c>
      <c r="CQ19">
        <v>0.41752524122340001</v>
      </c>
      <c r="CR19">
        <v>0</v>
      </c>
      <c r="CS19">
        <v>2.6337512171415001E-2</v>
      </c>
      <c r="CT19">
        <v>2.6337512171415001E-2</v>
      </c>
      <c r="CU19">
        <v>0</v>
      </c>
      <c r="CV19">
        <v>2.1487081021549E-2</v>
      </c>
      <c r="CW19">
        <v>2.2167675933489998E-2</v>
      </c>
      <c r="CX19">
        <v>-6.8059491194107005E-4</v>
      </c>
      <c r="CY19" s="2">
        <v>8.2160290704352002E-5</v>
      </c>
      <c r="CZ19" s="2">
        <v>3.7116871031214998E-5</v>
      </c>
      <c r="DA19" s="2">
        <v>7.4983840687968E-6</v>
      </c>
      <c r="DB19" s="2">
        <v>2.2952441341462999E-9</v>
      </c>
    </row>
    <row r="20" spans="1:106" x14ac:dyDescent="0.25">
      <c r="A20">
        <v>25868</v>
      </c>
      <c r="B20" t="s">
        <v>284</v>
      </c>
      <c r="C20">
        <v>50</v>
      </c>
      <c r="D20" t="s">
        <v>261</v>
      </c>
      <c r="E20">
        <v>2</v>
      </c>
      <c r="F20" t="s">
        <v>167</v>
      </c>
      <c r="G20">
        <v>31799.16</v>
      </c>
      <c r="H20" t="s">
        <v>0</v>
      </c>
      <c r="I20">
        <v>4</v>
      </c>
      <c r="J20">
        <v>31799.16</v>
      </c>
      <c r="L20">
        <v>92117.401014000003</v>
      </c>
      <c r="O20">
        <v>796831</v>
      </c>
      <c r="P20" t="s">
        <v>18</v>
      </c>
      <c r="Q20">
        <v>102</v>
      </c>
      <c r="R20" t="s">
        <v>262</v>
      </c>
      <c r="S20" t="s">
        <v>263</v>
      </c>
      <c r="T20">
        <v>2164.2346499999999</v>
      </c>
      <c r="V20">
        <v>2142710458</v>
      </c>
      <c r="W20" t="s">
        <v>19</v>
      </c>
      <c r="Y20">
        <v>1.7999999999999999E-2</v>
      </c>
      <c r="AF20" t="s">
        <v>5</v>
      </c>
      <c r="AG20" t="s">
        <v>6</v>
      </c>
      <c r="AH20" s="1">
        <v>1</v>
      </c>
      <c r="AI20">
        <v>1.7999999999999999E-2</v>
      </c>
      <c r="AJ20">
        <v>1050</v>
      </c>
      <c r="AK20">
        <v>18.899999999999999</v>
      </c>
      <c r="AM20">
        <v>18.899999999999999</v>
      </c>
      <c r="AN20">
        <v>40904.034885000001</v>
      </c>
      <c r="AO20">
        <v>1.2863243835686</v>
      </c>
      <c r="AP20" t="s">
        <v>0</v>
      </c>
      <c r="AQ20" t="s">
        <v>264</v>
      </c>
      <c r="AR20">
        <v>30358</v>
      </c>
      <c r="AS20" t="s">
        <v>265</v>
      </c>
      <c r="AT20">
        <v>3</v>
      </c>
      <c r="AU20">
        <v>1</v>
      </c>
      <c r="AV20" t="s">
        <v>266</v>
      </c>
      <c r="AW20">
        <v>0</v>
      </c>
      <c r="AX20">
        <v>50</v>
      </c>
      <c r="AY20">
        <v>50</v>
      </c>
      <c r="AZ20" t="s">
        <v>285</v>
      </c>
      <c r="BC20">
        <v>4</v>
      </c>
      <c r="BE20">
        <v>3</v>
      </c>
      <c r="BG20">
        <v>100</v>
      </c>
      <c r="BH20">
        <v>0</v>
      </c>
      <c r="BI20">
        <v>0</v>
      </c>
      <c r="BK20">
        <v>5.401116</v>
      </c>
      <c r="BL20">
        <v>5.401116</v>
      </c>
      <c r="BM20">
        <v>0</v>
      </c>
      <c r="BN20">
        <v>3.2317733999999998</v>
      </c>
      <c r="BO20">
        <v>3.2317733999999998</v>
      </c>
      <c r="BP20">
        <v>0</v>
      </c>
      <c r="BQ20">
        <v>8.4483150000000007E-2</v>
      </c>
      <c r="BR20">
        <v>0.37648314999999999</v>
      </c>
      <c r="BS20">
        <v>-0.29199999999999998</v>
      </c>
      <c r="BT20">
        <v>1.5654682E-3</v>
      </c>
      <c r="BU20">
        <v>4.8524325999999999E-4</v>
      </c>
      <c r="BV20">
        <v>1.3231905000000001E-4</v>
      </c>
      <c r="BW20" s="2">
        <v>3.8549634999999997E-8</v>
      </c>
      <c r="BX20">
        <v>0</v>
      </c>
      <c r="BY20">
        <v>0</v>
      </c>
      <c r="BZ20">
        <v>6</v>
      </c>
      <c r="CA20">
        <v>102.0810924</v>
      </c>
      <c r="CB20">
        <v>102.0810924</v>
      </c>
      <c r="CC20">
        <v>0</v>
      </c>
      <c r="CD20">
        <v>61.080517260000001</v>
      </c>
      <c r="CE20">
        <v>61.080517260000001</v>
      </c>
      <c r="CF20">
        <v>0</v>
      </c>
      <c r="CG20">
        <v>1.596731535</v>
      </c>
      <c r="CH20">
        <v>7.1155315349999997</v>
      </c>
      <c r="CI20">
        <v>-5.5187999999999997</v>
      </c>
      <c r="CJ20">
        <v>2.9587348980000001E-2</v>
      </c>
      <c r="CK20">
        <v>9.1710976139999997E-3</v>
      </c>
      <c r="CL20">
        <v>2.5008300450000001E-3</v>
      </c>
      <c r="CM20" s="2">
        <v>7.2858810149999998E-7</v>
      </c>
      <c r="CN20">
        <v>7.6138048664999998</v>
      </c>
      <c r="CO20">
        <v>91.142185072467001</v>
      </c>
      <c r="CP20">
        <v>6.9475872092825997</v>
      </c>
      <c r="CQ20">
        <v>6.9475872092825997</v>
      </c>
      <c r="CR20">
        <v>0</v>
      </c>
      <c r="CS20">
        <v>4.1571089265885002</v>
      </c>
      <c r="CT20">
        <v>4.1571089265885002</v>
      </c>
      <c r="CU20">
        <v>0</v>
      </c>
      <c r="CV20">
        <v>0.10867273584569</v>
      </c>
      <c r="CW20">
        <v>0.48427945584771998</v>
      </c>
      <c r="CX20">
        <v>-0.37560672000203998</v>
      </c>
      <c r="CY20">
        <v>2.0136999173613001E-3</v>
      </c>
      <c r="CZ20">
        <v>6.2418023730033E-4</v>
      </c>
      <c r="DA20">
        <v>1.7020522042563999E-4</v>
      </c>
      <c r="DB20" s="2">
        <v>4.9587335478170001E-8</v>
      </c>
    </row>
    <row r="21" spans="1:106" x14ac:dyDescent="0.25">
      <c r="A21">
        <v>25868</v>
      </c>
      <c r="B21" t="s">
        <v>284</v>
      </c>
      <c r="C21">
        <v>50</v>
      </c>
      <c r="D21" t="s">
        <v>261</v>
      </c>
      <c r="E21">
        <v>2</v>
      </c>
      <c r="F21" t="s">
        <v>167</v>
      </c>
      <c r="G21">
        <v>31799.16</v>
      </c>
      <c r="H21" t="s">
        <v>0</v>
      </c>
      <c r="I21">
        <v>4</v>
      </c>
      <c r="J21">
        <v>31799.16</v>
      </c>
      <c r="L21">
        <v>92117.401014000003</v>
      </c>
      <c r="O21">
        <v>796831</v>
      </c>
      <c r="P21" t="s">
        <v>18</v>
      </c>
      <c r="Q21">
        <v>102</v>
      </c>
      <c r="R21" t="s">
        <v>262</v>
      </c>
      <c r="S21" t="s">
        <v>263</v>
      </c>
      <c r="T21">
        <v>2164.2346499999999</v>
      </c>
      <c r="V21">
        <v>2142717907</v>
      </c>
      <c r="W21" t="s">
        <v>7</v>
      </c>
      <c r="Y21">
        <v>0.12</v>
      </c>
      <c r="AF21" t="s">
        <v>5</v>
      </c>
      <c r="AG21" t="s">
        <v>6</v>
      </c>
      <c r="AH21" s="1">
        <v>0.8</v>
      </c>
      <c r="AI21">
        <v>9.6000000000000002E-2</v>
      </c>
      <c r="AJ21">
        <v>40</v>
      </c>
      <c r="AK21">
        <v>3.84</v>
      </c>
      <c r="AM21">
        <v>3.84</v>
      </c>
      <c r="AN21">
        <v>8310.6610560000008</v>
      </c>
      <c r="AO21">
        <v>0.26134844618537001</v>
      </c>
      <c r="AP21" t="s">
        <v>0</v>
      </c>
      <c r="AQ21" t="s">
        <v>264</v>
      </c>
      <c r="AR21">
        <v>30358</v>
      </c>
      <c r="AS21" t="s">
        <v>265</v>
      </c>
      <c r="AT21">
        <v>4</v>
      </c>
      <c r="AU21">
        <v>1</v>
      </c>
      <c r="AV21" t="s">
        <v>266</v>
      </c>
      <c r="AW21">
        <v>0</v>
      </c>
      <c r="AX21">
        <v>50</v>
      </c>
      <c r="AY21">
        <v>50</v>
      </c>
      <c r="AZ21" t="s">
        <v>285</v>
      </c>
      <c r="BC21">
        <v>4</v>
      </c>
      <c r="BE21">
        <v>3</v>
      </c>
      <c r="BG21">
        <v>100</v>
      </c>
      <c r="BH21">
        <v>0</v>
      </c>
      <c r="BI21">
        <v>0</v>
      </c>
      <c r="BK21">
        <v>21.343074999999999</v>
      </c>
      <c r="BL21">
        <v>21.343074999999999</v>
      </c>
      <c r="BM21">
        <v>0</v>
      </c>
      <c r="BN21">
        <v>0.78469758000000001</v>
      </c>
      <c r="BO21">
        <v>0.78469758000000001</v>
      </c>
      <c r="BP21">
        <v>0</v>
      </c>
      <c r="BQ21">
        <v>1.7409311000000001</v>
      </c>
      <c r="BR21">
        <v>1.7409311000000001</v>
      </c>
      <c r="BS21">
        <v>0</v>
      </c>
      <c r="BT21">
        <v>1.1809325000000001E-2</v>
      </c>
      <c r="BU21">
        <v>3.1100953999999999E-3</v>
      </c>
      <c r="BV21">
        <v>5.0632319000000004E-3</v>
      </c>
      <c r="BW21" s="2">
        <v>7.0109999999999997E-8</v>
      </c>
      <c r="BX21">
        <v>0</v>
      </c>
      <c r="BY21">
        <v>0</v>
      </c>
      <c r="BZ21">
        <v>6</v>
      </c>
      <c r="CA21">
        <v>81.957408000000001</v>
      </c>
      <c r="CB21">
        <v>81.957408000000001</v>
      </c>
      <c r="CC21">
        <v>0</v>
      </c>
      <c r="CD21">
        <v>3.0132387072000002</v>
      </c>
      <c r="CE21">
        <v>3.0132387072000002</v>
      </c>
      <c r="CF21">
        <v>0</v>
      </c>
      <c r="CG21">
        <v>6.6851754239999996</v>
      </c>
      <c r="CH21">
        <v>6.6851754239999996</v>
      </c>
      <c r="CI21">
        <v>0</v>
      </c>
      <c r="CJ21">
        <v>4.5347808000000003E-2</v>
      </c>
      <c r="CK21">
        <v>1.1942766335999999E-2</v>
      </c>
      <c r="CL21">
        <v>1.9442810495999999E-2</v>
      </c>
      <c r="CM21" s="2">
        <v>2.692224E-7</v>
      </c>
      <c r="CN21">
        <v>9.8924839040000005</v>
      </c>
      <c r="CO21">
        <v>91.142185072467001</v>
      </c>
      <c r="CP21">
        <v>5.5779794880678004</v>
      </c>
      <c r="CQ21">
        <v>5.5779794880678004</v>
      </c>
      <c r="CR21">
        <v>0</v>
      </c>
      <c r="CS21">
        <v>0.20507949325842001</v>
      </c>
      <c r="CT21">
        <v>0.20507949325842001</v>
      </c>
      <c r="CU21">
        <v>0</v>
      </c>
      <c r="CV21">
        <v>0.45498963790079</v>
      </c>
      <c r="CW21">
        <v>0.45498963790079</v>
      </c>
      <c r="CX21">
        <v>0</v>
      </c>
      <c r="CY21">
        <v>3.0863487392480998E-3</v>
      </c>
      <c r="CZ21">
        <v>8.1281860027827E-4</v>
      </c>
      <c r="DA21">
        <v>1.3232677897412001E-3</v>
      </c>
      <c r="DB21" s="2">
        <v>1.8323139562056001E-8</v>
      </c>
    </row>
    <row r="22" spans="1:106" x14ac:dyDescent="0.25">
      <c r="A22">
        <v>25868</v>
      </c>
      <c r="B22" t="s">
        <v>284</v>
      </c>
      <c r="C22">
        <v>50</v>
      </c>
      <c r="D22" t="s">
        <v>261</v>
      </c>
      <c r="E22">
        <v>2</v>
      </c>
      <c r="F22" t="s">
        <v>167</v>
      </c>
      <c r="G22">
        <v>31799.16</v>
      </c>
      <c r="H22" t="s">
        <v>0</v>
      </c>
      <c r="I22">
        <v>4</v>
      </c>
      <c r="J22">
        <v>31799.16</v>
      </c>
      <c r="L22">
        <v>92117.401014000003</v>
      </c>
      <c r="O22">
        <v>796831</v>
      </c>
      <c r="P22" t="s">
        <v>18</v>
      </c>
      <c r="Q22">
        <v>102</v>
      </c>
      <c r="R22" t="s">
        <v>262</v>
      </c>
      <c r="S22" t="s">
        <v>263</v>
      </c>
      <c r="T22">
        <v>2164.2346499999999</v>
      </c>
      <c r="V22">
        <v>2142718934</v>
      </c>
      <c r="W22" t="s">
        <v>8</v>
      </c>
      <c r="Y22">
        <v>0.12</v>
      </c>
      <c r="AF22" t="s">
        <v>5</v>
      </c>
      <c r="AG22" t="s">
        <v>6</v>
      </c>
      <c r="AH22" s="1">
        <v>0.2</v>
      </c>
      <c r="AI22">
        <v>2.4E-2</v>
      </c>
      <c r="AJ22">
        <v>475</v>
      </c>
      <c r="AK22">
        <v>11.4</v>
      </c>
      <c r="AM22">
        <v>11.4</v>
      </c>
      <c r="AN22">
        <v>24672.275010000001</v>
      </c>
      <c r="AO22">
        <v>0.77587819961282001</v>
      </c>
      <c r="AP22" t="s">
        <v>0</v>
      </c>
      <c r="AQ22" t="s">
        <v>264</v>
      </c>
      <c r="AR22">
        <v>30358</v>
      </c>
      <c r="AS22" t="s">
        <v>265</v>
      </c>
      <c r="AT22">
        <v>4</v>
      </c>
      <c r="AU22">
        <v>2</v>
      </c>
      <c r="AV22" t="s">
        <v>266</v>
      </c>
      <c r="AW22">
        <v>0</v>
      </c>
      <c r="AX22">
        <v>50</v>
      </c>
      <c r="AY22">
        <v>50</v>
      </c>
      <c r="AZ22" t="s">
        <v>285</v>
      </c>
      <c r="BC22">
        <v>1</v>
      </c>
      <c r="BE22">
        <v>1</v>
      </c>
      <c r="BG22">
        <v>0</v>
      </c>
      <c r="BH22">
        <v>100</v>
      </c>
      <c r="BI22">
        <v>0</v>
      </c>
      <c r="BK22">
        <v>3.5879707999999999</v>
      </c>
      <c r="BL22">
        <v>3.5879707999999999</v>
      </c>
      <c r="BM22">
        <v>0</v>
      </c>
      <c r="BN22">
        <v>20.323786999999999</v>
      </c>
      <c r="BO22">
        <v>3.0837870000000001</v>
      </c>
      <c r="BP22">
        <v>17.239999999999998</v>
      </c>
      <c r="BQ22">
        <v>-0.69825356999999999</v>
      </c>
      <c r="BR22">
        <v>0.21034643</v>
      </c>
      <c r="BS22">
        <v>-0.90859999999999996</v>
      </c>
      <c r="BT22">
        <v>1.2826999000000001E-3</v>
      </c>
      <c r="BU22">
        <v>5.8292358999999998E-4</v>
      </c>
      <c r="BV22">
        <v>5.0843204000000002E-4</v>
      </c>
      <c r="BW22" s="2">
        <v>1.8139999999999999E-8</v>
      </c>
      <c r="BX22">
        <v>0</v>
      </c>
      <c r="BY22">
        <v>0</v>
      </c>
      <c r="BZ22">
        <v>6</v>
      </c>
      <c r="CA22">
        <v>40.902867120000003</v>
      </c>
      <c r="CB22">
        <v>40.902867120000003</v>
      </c>
      <c r="CC22">
        <v>0</v>
      </c>
      <c r="CD22">
        <v>231.69117180000001</v>
      </c>
      <c r="CE22">
        <v>35.155171799999998</v>
      </c>
      <c r="CF22">
        <v>196.536</v>
      </c>
      <c r="CG22">
        <v>-7.9600906980000001</v>
      </c>
      <c r="CH22">
        <v>2.3979493019999998</v>
      </c>
      <c r="CI22">
        <v>-10.358040000000001</v>
      </c>
      <c r="CJ22">
        <v>1.462277886E-2</v>
      </c>
      <c r="CK22">
        <v>6.6453289259999996E-3</v>
      </c>
      <c r="CL22">
        <v>5.7961252559999999E-3</v>
      </c>
      <c r="CM22" s="2">
        <v>2.0679599999999999E-7</v>
      </c>
      <c r="CN22">
        <v>1.9864509690000001</v>
      </c>
      <c r="CO22">
        <v>91.142185072467001</v>
      </c>
      <c r="CP22">
        <v>2.7838283245673998</v>
      </c>
      <c r="CQ22">
        <v>2.7838283245673998</v>
      </c>
      <c r="CR22">
        <v>0</v>
      </c>
      <c r="CS22">
        <v>15.768783266873999</v>
      </c>
      <c r="CT22">
        <v>2.3926431055494</v>
      </c>
      <c r="CU22">
        <v>13.376140161325001</v>
      </c>
      <c r="CV22">
        <v>-0.54175972276481998</v>
      </c>
      <c r="CW22">
        <v>0.16320320940338001</v>
      </c>
      <c r="CX22">
        <v>-0.70496293216821004</v>
      </c>
      <c r="CY22">
        <v>9.952188890555401E-4</v>
      </c>
      <c r="CZ22">
        <v>4.5227770552103998E-4</v>
      </c>
      <c r="DA22">
        <v>3.9448133582067001E-4</v>
      </c>
      <c r="DB22" s="2">
        <v>1.4074430540977E-8</v>
      </c>
    </row>
    <row r="23" spans="1:106" x14ac:dyDescent="0.25">
      <c r="A23">
        <v>25868</v>
      </c>
      <c r="B23" t="s">
        <v>284</v>
      </c>
      <c r="C23">
        <v>50</v>
      </c>
      <c r="D23" t="s">
        <v>261</v>
      </c>
      <c r="E23">
        <v>2</v>
      </c>
      <c r="F23" t="s">
        <v>167</v>
      </c>
      <c r="G23">
        <v>31799.16</v>
      </c>
      <c r="H23" t="s">
        <v>0</v>
      </c>
      <c r="I23">
        <v>4</v>
      </c>
      <c r="J23">
        <v>31799.16</v>
      </c>
      <c r="L23">
        <v>92117.401014000003</v>
      </c>
      <c r="O23">
        <v>796831</v>
      </c>
      <c r="P23" t="s">
        <v>18</v>
      </c>
      <c r="Q23">
        <v>102</v>
      </c>
      <c r="R23" t="s">
        <v>262</v>
      </c>
      <c r="S23" t="s">
        <v>263</v>
      </c>
      <c r="T23">
        <v>2164.2346499999999</v>
      </c>
      <c r="V23">
        <v>2142710458</v>
      </c>
      <c r="W23" t="s">
        <v>19</v>
      </c>
      <c r="Y23">
        <v>1.7999999999999999E-2</v>
      </c>
      <c r="AF23" t="s">
        <v>5</v>
      </c>
      <c r="AG23" t="s">
        <v>6</v>
      </c>
      <c r="AH23" s="1">
        <v>1</v>
      </c>
      <c r="AI23">
        <v>1.7999999999999999E-2</v>
      </c>
      <c r="AJ23">
        <v>1050</v>
      </c>
      <c r="AK23">
        <v>18.899999999999999</v>
      </c>
      <c r="AM23">
        <v>18.899999999999999</v>
      </c>
      <c r="AN23">
        <v>40904.034885000001</v>
      </c>
      <c r="AO23">
        <v>1.2863243835686</v>
      </c>
      <c r="AP23" t="s">
        <v>0</v>
      </c>
      <c r="AQ23" t="s">
        <v>264</v>
      </c>
      <c r="AR23">
        <v>30358</v>
      </c>
      <c r="AS23" t="s">
        <v>265</v>
      </c>
      <c r="AT23">
        <v>5</v>
      </c>
      <c r="AU23">
        <v>1</v>
      </c>
      <c r="AV23" t="s">
        <v>266</v>
      </c>
      <c r="AW23">
        <v>0</v>
      </c>
      <c r="AX23">
        <v>50</v>
      </c>
      <c r="AY23">
        <v>50</v>
      </c>
      <c r="AZ23" t="s">
        <v>285</v>
      </c>
      <c r="BC23">
        <v>4</v>
      </c>
      <c r="BE23">
        <v>3</v>
      </c>
      <c r="BG23">
        <v>100</v>
      </c>
      <c r="BH23">
        <v>0</v>
      </c>
      <c r="BI23">
        <v>0</v>
      </c>
      <c r="BK23">
        <v>5.401116</v>
      </c>
      <c r="BL23">
        <v>5.401116</v>
      </c>
      <c r="BM23">
        <v>0</v>
      </c>
      <c r="BN23">
        <v>3.2317733999999998</v>
      </c>
      <c r="BO23">
        <v>3.2317733999999998</v>
      </c>
      <c r="BP23">
        <v>0</v>
      </c>
      <c r="BQ23">
        <v>8.4483150000000007E-2</v>
      </c>
      <c r="BR23">
        <v>0.37648314999999999</v>
      </c>
      <c r="BS23">
        <v>-0.29199999999999998</v>
      </c>
      <c r="BT23">
        <v>1.5654682E-3</v>
      </c>
      <c r="BU23">
        <v>4.8524325999999999E-4</v>
      </c>
      <c r="BV23">
        <v>1.3231905000000001E-4</v>
      </c>
      <c r="BW23" s="2">
        <v>3.8549634999999997E-8</v>
      </c>
      <c r="BX23">
        <v>0</v>
      </c>
      <c r="BY23">
        <v>0</v>
      </c>
      <c r="BZ23">
        <v>6</v>
      </c>
      <c r="CA23">
        <v>102.0810924</v>
      </c>
      <c r="CB23">
        <v>102.0810924</v>
      </c>
      <c r="CC23">
        <v>0</v>
      </c>
      <c r="CD23">
        <v>61.080517260000001</v>
      </c>
      <c r="CE23">
        <v>61.080517260000001</v>
      </c>
      <c r="CF23">
        <v>0</v>
      </c>
      <c r="CG23">
        <v>1.596731535</v>
      </c>
      <c r="CH23">
        <v>7.1155315349999997</v>
      </c>
      <c r="CI23">
        <v>-5.5187999999999997</v>
      </c>
      <c r="CJ23">
        <v>2.9587348980000001E-2</v>
      </c>
      <c r="CK23">
        <v>9.1710976139999997E-3</v>
      </c>
      <c r="CL23">
        <v>2.5008300450000001E-3</v>
      </c>
      <c r="CM23" s="2">
        <v>7.2858810149999998E-7</v>
      </c>
      <c r="CN23">
        <v>7.6138048664999998</v>
      </c>
      <c r="CO23">
        <v>91.142185072467001</v>
      </c>
      <c r="CP23">
        <v>6.9475872092825997</v>
      </c>
      <c r="CQ23">
        <v>6.9475872092825997</v>
      </c>
      <c r="CR23">
        <v>0</v>
      </c>
      <c r="CS23">
        <v>4.1571089265885002</v>
      </c>
      <c r="CT23">
        <v>4.1571089265885002</v>
      </c>
      <c r="CU23">
        <v>0</v>
      </c>
      <c r="CV23">
        <v>0.10867273584569</v>
      </c>
      <c r="CW23">
        <v>0.48427945584771998</v>
      </c>
      <c r="CX23">
        <v>-0.37560672000203998</v>
      </c>
      <c r="CY23">
        <v>2.0136999173613001E-3</v>
      </c>
      <c r="CZ23">
        <v>6.2418023730033E-4</v>
      </c>
      <c r="DA23">
        <v>1.7020522042563999E-4</v>
      </c>
      <c r="DB23" s="2">
        <v>4.9587335478170001E-8</v>
      </c>
    </row>
    <row r="24" spans="1:106" x14ac:dyDescent="0.25">
      <c r="A24">
        <v>25868</v>
      </c>
      <c r="B24" t="s">
        <v>284</v>
      </c>
      <c r="C24">
        <v>50</v>
      </c>
      <c r="D24" t="s">
        <v>261</v>
      </c>
      <c r="E24">
        <v>2</v>
      </c>
      <c r="F24" t="s">
        <v>167</v>
      </c>
      <c r="G24">
        <v>31799.16</v>
      </c>
      <c r="H24" t="s">
        <v>0</v>
      </c>
      <c r="I24">
        <v>4</v>
      </c>
      <c r="J24">
        <v>31799.16</v>
      </c>
      <c r="L24">
        <v>92117.401014000003</v>
      </c>
      <c r="O24">
        <v>796831</v>
      </c>
      <c r="P24" t="s">
        <v>18</v>
      </c>
      <c r="Q24">
        <v>102</v>
      </c>
      <c r="R24" t="s">
        <v>262</v>
      </c>
      <c r="S24" t="s">
        <v>263</v>
      </c>
      <c r="T24">
        <v>2164.2346499999999</v>
      </c>
      <c r="V24">
        <v>2142710458</v>
      </c>
      <c r="W24" t="s">
        <v>19</v>
      </c>
      <c r="Y24">
        <v>1.7999999999999999E-2</v>
      </c>
      <c r="AF24" t="s">
        <v>5</v>
      </c>
      <c r="AG24" t="s">
        <v>6</v>
      </c>
      <c r="AH24" s="1">
        <v>1</v>
      </c>
      <c r="AI24">
        <v>1.7999999999999999E-2</v>
      </c>
      <c r="AJ24">
        <v>1050</v>
      </c>
      <c r="AK24">
        <v>18.899999999999999</v>
      </c>
      <c r="AM24">
        <v>18.899999999999999</v>
      </c>
      <c r="AN24">
        <v>40904.034885000001</v>
      </c>
      <c r="AO24">
        <v>1.2863243835686</v>
      </c>
      <c r="AP24" t="s">
        <v>0</v>
      </c>
      <c r="AQ24" t="s">
        <v>264</v>
      </c>
      <c r="AR24">
        <v>30358</v>
      </c>
      <c r="AS24" t="s">
        <v>265</v>
      </c>
      <c r="AT24">
        <v>6</v>
      </c>
      <c r="AU24">
        <v>1</v>
      </c>
      <c r="AV24" t="s">
        <v>266</v>
      </c>
      <c r="AW24">
        <v>0</v>
      </c>
      <c r="AX24">
        <v>50</v>
      </c>
      <c r="AY24">
        <v>50</v>
      </c>
      <c r="AZ24" t="s">
        <v>285</v>
      </c>
      <c r="BC24">
        <v>4</v>
      </c>
      <c r="BE24">
        <v>3</v>
      </c>
      <c r="BG24">
        <v>100</v>
      </c>
      <c r="BH24">
        <v>0</v>
      </c>
      <c r="BI24">
        <v>0</v>
      </c>
      <c r="BK24">
        <v>5.401116</v>
      </c>
      <c r="BL24">
        <v>5.401116</v>
      </c>
      <c r="BM24">
        <v>0</v>
      </c>
      <c r="BN24">
        <v>3.2317733999999998</v>
      </c>
      <c r="BO24">
        <v>3.2317733999999998</v>
      </c>
      <c r="BP24">
        <v>0</v>
      </c>
      <c r="BQ24">
        <v>8.4483150000000007E-2</v>
      </c>
      <c r="BR24">
        <v>0.37648314999999999</v>
      </c>
      <c r="BS24">
        <v>-0.29199999999999998</v>
      </c>
      <c r="BT24">
        <v>1.5654682E-3</v>
      </c>
      <c r="BU24">
        <v>4.8524325999999999E-4</v>
      </c>
      <c r="BV24">
        <v>1.3231905000000001E-4</v>
      </c>
      <c r="BW24" s="2">
        <v>3.8549634999999997E-8</v>
      </c>
      <c r="BX24">
        <v>0</v>
      </c>
      <c r="BY24">
        <v>0</v>
      </c>
      <c r="BZ24">
        <v>6</v>
      </c>
      <c r="CA24">
        <v>102.0810924</v>
      </c>
      <c r="CB24">
        <v>102.0810924</v>
      </c>
      <c r="CC24">
        <v>0</v>
      </c>
      <c r="CD24">
        <v>61.080517260000001</v>
      </c>
      <c r="CE24">
        <v>61.080517260000001</v>
      </c>
      <c r="CF24">
        <v>0</v>
      </c>
      <c r="CG24">
        <v>1.596731535</v>
      </c>
      <c r="CH24">
        <v>7.1155315349999997</v>
      </c>
      <c r="CI24">
        <v>-5.5187999999999997</v>
      </c>
      <c r="CJ24">
        <v>2.9587348980000001E-2</v>
      </c>
      <c r="CK24">
        <v>9.1710976139999997E-3</v>
      </c>
      <c r="CL24">
        <v>2.5008300450000001E-3</v>
      </c>
      <c r="CM24" s="2">
        <v>7.2858810149999998E-7</v>
      </c>
      <c r="CN24">
        <v>7.6138048664999998</v>
      </c>
      <c r="CO24">
        <v>91.142185072467001</v>
      </c>
      <c r="CP24">
        <v>6.9475872092825997</v>
      </c>
      <c r="CQ24">
        <v>6.9475872092825997</v>
      </c>
      <c r="CR24">
        <v>0</v>
      </c>
      <c r="CS24">
        <v>4.1571089265885002</v>
      </c>
      <c r="CT24">
        <v>4.1571089265885002</v>
      </c>
      <c r="CU24">
        <v>0</v>
      </c>
      <c r="CV24">
        <v>0.10867273584569</v>
      </c>
      <c r="CW24">
        <v>0.48427945584771998</v>
      </c>
      <c r="CX24">
        <v>-0.37560672000203998</v>
      </c>
      <c r="CY24">
        <v>2.0136999173613001E-3</v>
      </c>
      <c r="CZ24">
        <v>6.2418023730033E-4</v>
      </c>
      <c r="DA24">
        <v>1.7020522042563999E-4</v>
      </c>
      <c r="DB24" s="2">
        <v>4.9587335478170001E-8</v>
      </c>
    </row>
    <row r="25" spans="1:106" x14ac:dyDescent="0.25">
      <c r="A25">
        <v>25868</v>
      </c>
      <c r="B25" t="s">
        <v>284</v>
      </c>
      <c r="C25">
        <v>50</v>
      </c>
      <c r="D25" t="s">
        <v>261</v>
      </c>
      <c r="E25">
        <v>2</v>
      </c>
      <c r="F25" t="s">
        <v>167</v>
      </c>
      <c r="G25">
        <v>31799.16</v>
      </c>
      <c r="H25" t="s">
        <v>0</v>
      </c>
      <c r="I25">
        <v>4</v>
      </c>
      <c r="J25">
        <v>31799.16</v>
      </c>
      <c r="L25">
        <v>92117.401014000003</v>
      </c>
      <c r="O25">
        <v>796831</v>
      </c>
      <c r="P25" t="s">
        <v>18</v>
      </c>
      <c r="Q25">
        <v>102</v>
      </c>
      <c r="R25" t="s">
        <v>262</v>
      </c>
      <c r="S25" t="s">
        <v>263</v>
      </c>
      <c r="T25">
        <v>2164.2346499999999</v>
      </c>
      <c r="V25">
        <v>2142717907</v>
      </c>
      <c r="W25" t="s">
        <v>7</v>
      </c>
      <c r="Y25">
        <v>0.12</v>
      </c>
      <c r="AF25" t="s">
        <v>5</v>
      </c>
      <c r="AG25" t="s">
        <v>6</v>
      </c>
      <c r="AH25" s="1">
        <v>0.8</v>
      </c>
      <c r="AI25">
        <v>9.6000000000000002E-2</v>
      </c>
      <c r="AJ25">
        <v>40</v>
      </c>
      <c r="AK25">
        <v>3.84</v>
      </c>
      <c r="AM25">
        <v>3.84</v>
      </c>
      <c r="AN25">
        <v>8310.6610560000008</v>
      </c>
      <c r="AO25">
        <v>0.26134844618537001</v>
      </c>
      <c r="AP25" t="s">
        <v>0</v>
      </c>
      <c r="AQ25" t="s">
        <v>264</v>
      </c>
      <c r="AR25">
        <v>30358</v>
      </c>
      <c r="AS25" t="s">
        <v>265</v>
      </c>
      <c r="AT25">
        <v>7</v>
      </c>
      <c r="AU25">
        <v>1</v>
      </c>
      <c r="AV25" t="s">
        <v>266</v>
      </c>
      <c r="AW25">
        <v>0</v>
      </c>
      <c r="AX25">
        <v>50</v>
      </c>
      <c r="AY25">
        <v>50</v>
      </c>
      <c r="AZ25" t="s">
        <v>285</v>
      </c>
      <c r="BC25">
        <v>4</v>
      </c>
      <c r="BE25">
        <v>3</v>
      </c>
      <c r="BG25">
        <v>100</v>
      </c>
      <c r="BH25">
        <v>0</v>
      </c>
      <c r="BI25">
        <v>0</v>
      </c>
      <c r="BK25">
        <v>21.343074999999999</v>
      </c>
      <c r="BL25">
        <v>21.343074999999999</v>
      </c>
      <c r="BM25">
        <v>0</v>
      </c>
      <c r="BN25">
        <v>0.78469758000000001</v>
      </c>
      <c r="BO25">
        <v>0.78469758000000001</v>
      </c>
      <c r="BP25">
        <v>0</v>
      </c>
      <c r="BQ25">
        <v>1.7409311000000001</v>
      </c>
      <c r="BR25">
        <v>1.7409311000000001</v>
      </c>
      <c r="BS25">
        <v>0</v>
      </c>
      <c r="BT25">
        <v>1.1809325000000001E-2</v>
      </c>
      <c r="BU25">
        <v>3.1100953999999999E-3</v>
      </c>
      <c r="BV25">
        <v>5.0632319000000004E-3</v>
      </c>
      <c r="BW25" s="2">
        <v>7.0109999999999997E-8</v>
      </c>
      <c r="BX25">
        <v>0</v>
      </c>
      <c r="BY25">
        <v>0</v>
      </c>
      <c r="BZ25">
        <v>6</v>
      </c>
      <c r="CA25">
        <v>81.957408000000001</v>
      </c>
      <c r="CB25">
        <v>81.957408000000001</v>
      </c>
      <c r="CC25">
        <v>0</v>
      </c>
      <c r="CD25">
        <v>3.0132387072000002</v>
      </c>
      <c r="CE25">
        <v>3.0132387072000002</v>
      </c>
      <c r="CF25">
        <v>0</v>
      </c>
      <c r="CG25">
        <v>6.6851754239999996</v>
      </c>
      <c r="CH25">
        <v>6.6851754239999996</v>
      </c>
      <c r="CI25">
        <v>0</v>
      </c>
      <c r="CJ25">
        <v>4.5347808000000003E-2</v>
      </c>
      <c r="CK25">
        <v>1.1942766335999999E-2</v>
      </c>
      <c r="CL25">
        <v>1.9442810495999999E-2</v>
      </c>
      <c r="CM25" s="2">
        <v>2.692224E-7</v>
      </c>
      <c r="CN25">
        <v>9.8924839040000005</v>
      </c>
      <c r="CO25">
        <v>91.142185072467001</v>
      </c>
      <c r="CP25">
        <v>5.5779794880678004</v>
      </c>
      <c r="CQ25">
        <v>5.5779794880678004</v>
      </c>
      <c r="CR25">
        <v>0</v>
      </c>
      <c r="CS25">
        <v>0.20507949325842001</v>
      </c>
      <c r="CT25">
        <v>0.20507949325842001</v>
      </c>
      <c r="CU25">
        <v>0</v>
      </c>
      <c r="CV25">
        <v>0.45498963790079</v>
      </c>
      <c r="CW25">
        <v>0.45498963790079</v>
      </c>
      <c r="CX25">
        <v>0</v>
      </c>
      <c r="CY25">
        <v>3.0863487392480998E-3</v>
      </c>
      <c r="CZ25">
        <v>8.1281860027827E-4</v>
      </c>
      <c r="DA25">
        <v>1.3232677897412001E-3</v>
      </c>
      <c r="DB25" s="2">
        <v>1.8323139562056001E-8</v>
      </c>
    </row>
    <row r="26" spans="1:106" x14ac:dyDescent="0.25">
      <c r="A26">
        <v>25868</v>
      </c>
      <c r="B26" t="s">
        <v>284</v>
      </c>
      <c r="C26">
        <v>50</v>
      </c>
      <c r="D26" t="s">
        <v>261</v>
      </c>
      <c r="E26">
        <v>2</v>
      </c>
      <c r="F26" t="s">
        <v>167</v>
      </c>
      <c r="G26">
        <v>31799.16</v>
      </c>
      <c r="H26" t="s">
        <v>0</v>
      </c>
      <c r="I26">
        <v>4</v>
      </c>
      <c r="J26">
        <v>31799.16</v>
      </c>
      <c r="L26">
        <v>92117.401014000003</v>
      </c>
      <c r="O26">
        <v>796831</v>
      </c>
      <c r="P26" t="s">
        <v>18</v>
      </c>
      <c r="Q26">
        <v>102</v>
      </c>
      <c r="R26" t="s">
        <v>262</v>
      </c>
      <c r="S26" t="s">
        <v>263</v>
      </c>
      <c r="T26">
        <v>2164.2346499999999</v>
      </c>
      <c r="V26">
        <v>2142718934</v>
      </c>
      <c r="W26" t="s">
        <v>8</v>
      </c>
      <c r="Y26">
        <v>0.12</v>
      </c>
      <c r="AF26" t="s">
        <v>5</v>
      </c>
      <c r="AG26" t="s">
        <v>6</v>
      </c>
      <c r="AH26" s="1">
        <v>0.2</v>
      </c>
      <c r="AI26">
        <v>2.4E-2</v>
      </c>
      <c r="AJ26">
        <v>475</v>
      </c>
      <c r="AK26">
        <v>11.4</v>
      </c>
      <c r="AM26">
        <v>11.4</v>
      </c>
      <c r="AN26">
        <v>24672.275010000001</v>
      </c>
      <c r="AO26">
        <v>0.77587819961282001</v>
      </c>
      <c r="AP26" t="s">
        <v>0</v>
      </c>
      <c r="AQ26" t="s">
        <v>264</v>
      </c>
      <c r="AR26">
        <v>30358</v>
      </c>
      <c r="AS26" t="s">
        <v>265</v>
      </c>
      <c r="AT26">
        <v>7</v>
      </c>
      <c r="AU26">
        <v>2</v>
      </c>
      <c r="AV26" t="s">
        <v>266</v>
      </c>
      <c r="AW26">
        <v>0</v>
      </c>
      <c r="AX26">
        <v>50</v>
      </c>
      <c r="AY26">
        <v>50</v>
      </c>
      <c r="AZ26" t="s">
        <v>285</v>
      </c>
      <c r="BC26">
        <v>1</v>
      </c>
      <c r="BE26">
        <v>1</v>
      </c>
      <c r="BG26">
        <v>0</v>
      </c>
      <c r="BH26">
        <v>100</v>
      </c>
      <c r="BI26">
        <v>0</v>
      </c>
      <c r="BK26">
        <v>3.5879707999999999</v>
      </c>
      <c r="BL26">
        <v>3.5879707999999999</v>
      </c>
      <c r="BM26">
        <v>0</v>
      </c>
      <c r="BN26">
        <v>20.323786999999999</v>
      </c>
      <c r="BO26">
        <v>3.0837870000000001</v>
      </c>
      <c r="BP26">
        <v>17.239999999999998</v>
      </c>
      <c r="BQ26">
        <v>-0.69825356999999999</v>
      </c>
      <c r="BR26">
        <v>0.21034643</v>
      </c>
      <c r="BS26">
        <v>-0.90859999999999996</v>
      </c>
      <c r="BT26">
        <v>1.2826999000000001E-3</v>
      </c>
      <c r="BU26">
        <v>5.8292358999999998E-4</v>
      </c>
      <c r="BV26">
        <v>5.0843204000000002E-4</v>
      </c>
      <c r="BW26" s="2">
        <v>1.8139999999999999E-8</v>
      </c>
      <c r="BX26">
        <v>0</v>
      </c>
      <c r="BY26">
        <v>0</v>
      </c>
      <c r="BZ26">
        <v>6</v>
      </c>
      <c r="CA26">
        <v>40.902867120000003</v>
      </c>
      <c r="CB26">
        <v>40.902867120000003</v>
      </c>
      <c r="CC26">
        <v>0</v>
      </c>
      <c r="CD26">
        <v>231.69117180000001</v>
      </c>
      <c r="CE26">
        <v>35.155171799999998</v>
      </c>
      <c r="CF26">
        <v>196.536</v>
      </c>
      <c r="CG26">
        <v>-7.9600906980000001</v>
      </c>
      <c r="CH26">
        <v>2.3979493019999998</v>
      </c>
      <c r="CI26">
        <v>-10.358040000000001</v>
      </c>
      <c r="CJ26">
        <v>1.462277886E-2</v>
      </c>
      <c r="CK26">
        <v>6.6453289259999996E-3</v>
      </c>
      <c r="CL26">
        <v>5.7961252559999999E-3</v>
      </c>
      <c r="CM26" s="2">
        <v>2.0679599999999999E-7</v>
      </c>
      <c r="CN26">
        <v>1.9864509690000001</v>
      </c>
      <c r="CO26">
        <v>91.142185072467001</v>
      </c>
      <c r="CP26">
        <v>2.7838283245673998</v>
      </c>
      <c r="CQ26">
        <v>2.7838283245673998</v>
      </c>
      <c r="CR26">
        <v>0</v>
      </c>
      <c r="CS26">
        <v>15.768783266873999</v>
      </c>
      <c r="CT26">
        <v>2.3926431055494</v>
      </c>
      <c r="CU26">
        <v>13.376140161325001</v>
      </c>
      <c r="CV26">
        <v>-0.54175972276481998</v>
      </c>
      <c r="CW26">
        <v>0.16320320940338001</v>
      </c>
      <c r="CX26">
        <v>-0.70496293216821004</v>
      </c>
      <c r="CY26">
        <v>9.952188890555401E-4</v>
      </c>
      <c r="CZ26">
        <v>4.5227770552103998E-4</v>
      </c>
      <c r="DA26">
        <v>3.9448133582067001E-4</v>
      </c>
      <c r="DB26" s="2">
        <v>1.4074430540977E-8</v>
      </c>
    </row>
    <row r="27" spans="1:106" x14ac:dyDescent="0.25">
      <c r="A27">
        <v>25868</v>
      </c>
      <c r="B27" t="s">
        <v>284</v>
      </c>
      <c r="C27">
        <v>50</v>
      </c>
      <c r="D27" t="s">
        <v>261</v>
      </c>
      <c r="E27">
        <v>2</v>
      </c>
      <c r="F27" t="s">
        <v>167</v>
      </c>
      <c r="G27">
        <v>31799.16</v>
      </c>
      <c r="H27" t="s">
        <v>0</v>
      </c>
      <c r="I27">
        <v>4</v>
      </c>
      <c r="J27">
        <v>31799.16</v>
      </c>
      <c r="L27">
        <v>92117.401014000003</v>
      </c>
      <c r="O27">
        <v>796831</v>
      </c>
      <c r="P27" t="s">
        <v>18</v>
      </c>
      <c r="Q27">
        <v>102</v>
      </c>
      <c r="R27" t="s">
        <v>262</v>
      </c>
      <c r="S27" t="s">
        <v>263</v>
      </c>
      <c r="T27">
        <v>2164.2346499999999</v>
      </c>
      <c r="V27">
        <v>2142710458</v>
      </c>
      <c r="W27" t="s">
        <v>19</v>
      </c>
      <c r="Y27">
        <v>1.7999999999999999E-2</v>
      </c>
      <c r="AF27" t="s">
        <v>5</v>
      </c>
      <c r="AG27" t="s">
        <v>6</v>
      </c>
      <c r="AH27" s="1">
        <v>1</v>
      </c>
      <c r="AI27">
        <v>1.7999999999999999E-2</v>
      </c>
      <c r="AJ27">
        <v>1050</v>
      </c>
      <c r="AK27">
        <v>18.899999999999999</v>
      </c>
      <c r="AM27">
        <v>18.899999999999999</v>
      </c>
      <c r="AN27">
        <v>40904.034885000001</v>
      </c>
      <c r="AO27">
        <v>1.2863243835686</v>
      </c>
      <c r="AP27" t="s">
        <v>0</v>
      </c>
      <c r="AQ27" t="s">
        <v>264</v>
      </c>
      <c r="AR27">
        <v>30358</v>
      </c>
      <c r="AS27" t="s">
        <v>265</v>
      </c>
      <c r="AT27">
        <v>8</v>
      </c>
      <c r="AU27">
        <v>1</v>
      </c>
      <c r="AV27" t="s">
        <v>266</v>
      </c>
      <c r="AW27">
        <v>0</v>
      </c>
      <c r="AX27">
        <v>50</v>
      </c>
      <c r="AY27">
        <v>50</v>
      </c>
      <c r="AZ27" t="s">
        <v>285</v>
      </c>
      <c r="BC27">
        <v>4</v>
      </c>
      <c r="BE27">
        <v>3</v>
      </c>
      <c r="BG27">
        <v>100</v>
      </c>
      <c r="BH27">
        <v>0</v>
      </c>
      <c r="BI27">
        <v>0</v>
      </c>
      <c r="BK27">
        <v>5.401116</v>
      </c>
      <c r="BL27">
        <v>5.401116</v>
      </c>
      <c r="BM27">
        <v>0</v>
      </c>
      <c r="BN27">
        <v>3.2317733999999998</v>
      </c>
      <c r="BO27">
        <v>3.2317733999999998</v>
      </c>
      <c r="BP27">
        <v>0</v>
      </c>
      <c r="BQ27">
        <v>8.4483150000000007E-2</v>
      </c>
      <c r="BR27">
        <v>0.37648314999999999</v>
      </c>
      <c r="BS27">
        <v>-0.29199999999999998</v>
      </c>
      <c r="BT27">
        <v>1.5654682E-3</v>
      </c>
      <c r="BU27">
        <v>4.8524325999999999E-4</v>
      </c>
      <c r="BV27">
        <v>1.3231905000000001E-4</v>
      </c>
      <c r="BW27" s="2">
        <v>3.8549634999999997E-8</v>
      </c>
      <c r="BX27">
        <v>0</v>
      </c>
      <c r="BY27">
        <v>0</v>
      </c>
      <c r="BZ27">
        <v>6</v>
      </c>
      <c r="CA27">
        <v>102.0810924</v>
      </c>
      <c r="CB27">
        <v>102.0810924</v>
      </c>
      <c r="CC27">
        <v>0</v>
      </c>
      <c r="CD27">
        <v>61.080517260000001</v>
      </c>
      <c r="CE27">
        <v>61.080517260000001</v>
      </c>
      <c r="CF27">
        <v>0</v>
      </c>
      <c r="CG27">
        <v>1.596731535</v>
      </c>
      <c r="CH27">
        <v>7.1155315349999997</v>
      </c>
      <c r="CI27">
        <v>-5.5187999999999997</v>
      </c>
      <c r="CJ27">
        <v>2.9587348980000001E-2</v>
      </c>
      <c r="CK27">
        <v>9.1710976139999997E-3</v>
      </c>
      <c r="CL27">
        <v>2.5008300450000001E-3</v>
      </c>
      <c r="CM27" s="2">
        <v>7.2858810149999998E-7</v>
      </c>
      <c r="CN27">
        <v>7.6138048664999998</v>
      </c>
      <c r="CO27">
        <v>91.142185072467001</v>
      </c>
      <c r="CP27">
        <v>6.9475872092825997</v>
      </c>
      <c r="CQ27">
        <v>6.9475872092825997</v>
      </c>
      <c r="CR27">
        <v>0</v>
      </c>
      <c r="CS27">
        <v>4.1571089265885002</v>
      </c>
      <c r="CT27">
        <v>4.1571089265885002</v>
      </c>
      <c r="CU27">
        <v>0</v>
      </c>
      <c r="CV27">
        <v>0.10867273584569</v>
      </c>
      <c r="CW27">
        <v>0.48427945584771998</v>
      </c>
      <c r="CX27">
        <v>-0.37560672000203998</v>
      </c>
      <c r="CY27">
        <v>2.0136999173613001E-3</v>
      </c>
      <c r="CZ27">
        <v>6.2418023730033E-4</v>
      </c>
      <c r="DA27">
        <v>1.7020522042563999E-4</v>
      </c>
      <c r="DB27" s="2">
        <v>4.9587335478170001E-8</v>
      </c>
    </row>
    <row r="28" spans="1:106" x14ac:dyDescent="0.25">
      <c r="A28">
        <v>25868</v>
      </c>
      <c r="B28" t="s">
        <v>284</v>
      </c>
      <c r="C28">
        <v>50</v>
      </c>
      <c r="D28" t="s">
        <v>261</v>
      </c>
      <c r="E28">
        <v>2</v>
      </c>
      <c r="F28" t="s">
        <v>167</v>
      </c>
      <c r="G28">
        <v>31799.16</v>
      </c>
      <c r="H28" t="s">
        <v>0</v>
      </c>
      <c r="I28">
        <v>4</v>
      </c>
      <c r="J28">
        <v>31799.16</v>
      </c>
      <c r="L28">
        <v>92117.401014000003</v>
      </c>
      <c r="O28">
        <v>796831</v>
      </c>
      <c r="P28" t="s">
        <v>18</v>
      </c>
      <c r="Q28">
        <v>102</v>
      </c>
      <c r="R28" t="s">
        <v>262</v>
      </c>
      <c r="S28" t="s">
        <v>263</v>
      </c>
      <c r="T28">
        <v>2164.2346499999999</v>
      </c>
      <c r="V28">
        <v>2142717907</v>
      </c>
      <c r="W28" t="s">
        <v>7</v>
      </c>
      <c r="Y28">
        <v>0.12</v>
      </c>
      <c r="AF28" t="s">
        <v>5</v>
      </c>
      <c r="AG28" t="s">
        <v>6</v>
      </c>
      <c r="AH28" s="1">
        <v>0.8</v>
      </c>
      <c r="AI28">
        <v>9.6000000000000002E-2</v>
      </c>
      <c r="AJ28">
        <v>40</v>
      </c>
      <c r="AK28">
        <v>3.84</v>
      </c>
      <c r="AM28">
        <v>3.84</v>
      </c>
      <c r="AN28">
        <v>8310.6610560000008</v>
      </c>
      <c r="AO28">
        <v>0.26134844618537001</v>
      </c>
      <c r="AP28" t="s">
        <v>0</v>
      </c>
      <c r="AQ28" t="s">
        <v>264</v>
      </c>
      <c r="AR28">
        <v>30358</v>
      </c>
      <c r="AS28" t="s">
        <v>265</v>
      </c>
      <c r="AT28">
        <v>9</v>
      </c>
      <c r="AU28">
        <v>1</v>
      </c>
      <c r="AV28" t="s">
        <v>266</v>
      </c>
      <c r="AW28">
        <v>0</v>
      </c>
      <c r="AX28">
        <v>50</v>
      </c>
      <c r="AY28">
        <v>50</v>
      </c>
      <c r="AZ28" t="s">
        <v>285</v>
      </c>
      <c r="BC28">
        <v>4</v>
      </c>
      <c r="BE28">
        <v>3</v>
      </c>
      <c r="BG28">
        <v>100</v>
      </c>
      <c r="BH28">
        <v>0</v>
      </c>
      <c r="BI28">
        <v>0</v>
      </c>
      <c r="BK28">
        <v>21.343074999999999</v>
      </c>
      <c r="BL28">
        <v>21.343074999999999</v>
      </c>
      <c r="BM28">
        <v>0</v>
      </c>
      <c r="BN28">
        <v>0.78469758000000001</v>
      </c>
      <c r="BO28">
        <v>0.78469758000000001</v>
      </c>
      <c r="BP28">
        <v>0</v>
      </c>
      <c r="BQ28">
        <v>1.7409311000000001</v>
      </c>
      <c r="BR28">
        <v>1.7409311000000001</v>
      </c>
      <c r="BS28">
        <v>0</v>
      </c>
      <c r="BT28">
        <v>1.1809325000000001E-2</v>
      </c>
      <c r="BU28">
        <v>3.1100953999999999E-3</v>
      </c>
      <c r="BV28">
        <v>5.0632319000000004E-3</v>
      </c>
      <c r="BW28" s="2">
        <v>7.0109999999999997E-8</v>
      </c>
      <c r="BX28">
        <v>0</v>
      </c>
      <c r="BY28">
        <v>0</v>
      </c>
      <c r="BZ28">
        <v>6</v>
      </c>
      <c r="CA28">
        <v>81.957408000000001</v>
      </c>
      <c r="CB28">
        <v>81.957408000000001</v>
      </c>
      <c r="CC28">
        <v>0</v>
      </c>
      <c r="CD28">
        <v>3.0132387072000002</v>
      </c>
      <c r="CE28">
        <v>3.0132387072000002</v>
      </c>
      <c r="CF28">
        <v>0</v>
      </c>
      <c r="CG28">
        <v>6.6851754239999996</v>
      </c>
      <c r="CH28">
        <v>6.6851754239999996</v>
      </c>
      <c r="CI28">
        <v>0</v>
      </c>
      <c r="CJ28">
        <v>4.5347808000000003E-2</v>
      </c>
      <c r="CK28">
        <v>1.1942766335999999E-2</v>
      </c>
      <c r="CL28">
        <v>1.9442810495999999E-2</v>
      </c>
      <c r="CM28" s="2">
        <v>2.692224E-7</v>
      </c>
      <c r="CN28">
        <v>9.8924839040000005</v>
      </c>
      <c r="CO28">
        <v>91.142185072467001</v>
      </c>
      <c r="CP28">
        <v>5.5779794880678004</v>
      </c>
      <c r="CQ28">
        <v>5.5779794880678004</v>
      </c>
      <c r="CR28">
        <v>0</v>
      </c>
      <c r="CS28">
        <v>0.20507949325842001</v>
      </c>
      <c r="CT28">
        <v>0.20507949325842001</v>
      </c>
      <c r="CU28">
        <v>0</v>
      </c>
      <c r="CV28">
        <v>0.45498963790079</v>
      </c>
      <c r="CW28">
        <v>0.45498963790079</v>
      </c>
      <c r="CX28">
        <v>0</v>
      </c>
      <c r="CY28">
        <v>3.0863487392480998E-3</v>
      </c>
      <c r="CZ28">
        <v>8.1281860027827E-4</v>
      </c>
      <c r="DA28">
        <v>1.3232677897412001E-3</v>
      </c>
      <c r="DB28" s="2">
        <v>1.8323139562056001E-8</v>
      </c>
    </row>
    <row r="29" spans="1:106" x14ac:dyDescent="0.25">
      <c r="A29">
        <v>25868</v>
      </c>
      <c r="B29" t="s">
        <v>284</v>
      </c>
      <c r="C29">
        <v>50</v>
      </c>
      <c r="D29" t="s">
        <v>261</v>
      </c>
      <c r="E29">
        <v>2</v>
      </c>
      <c r="F29" t="s">
        <v>167</v>
      </c>
      <c r="G29">
        <v>31799.16</v>
      </c>
      <c r="H29" t="s">
        <v>0</v>
      </c>
      <c r="I29">
        <v>4</v>
      </c>
      <c r="J29">
        <v>31799.16</v>
      </c>
      <c r="L29">
        <v>92117.401014000003</v>
      </c>
      <c r="O29">
        <v>796831</v>
      </c>
      <c r="P29" t="s">
        <v>18</v>
      </c>
      <c r="Q29">
        <v>102</v>
      </c>
      <c r="R29" t="s">
        <v>262</v>
      </c>
      <c r="S29" t="s">
        <v>263</v>
      </c>
      <c r="T29">
        <v>2164.2346499999999</v>
      </c>
      <c r="V29">
        <v>2142718934</v>
      </c>
      <c r="W29" t="s">
        <v>8</v>
      </c>
      <c r="Y29">
        <v>0.12</v>
      </c>
      <c r="AF29" t="s">
        <v>5</v>
      </c>
      <c r="AG29" t="s">
        <v>6</v>
      </c>
      <c r="AH29" s="1">
        <v>0.2</v>
      </c>
      <c r="AI29">
        <v>2.4E-2</v>
      </c>
      <c r="AJ29">
        <v>475</v>
      </c>
      <c r="AK29">
        <v>11.4</v>
      </c>
      <c r="AM29">
        <v>11.4</v>
      </c>
      <c r="AN29">
        <v>24672.275010000001</v>
      </c>
      <c r="AO29">
        <v>0.77587819961282001</v>
      </c>
      <c r="AP29" t="s">
        <v>0</v>
      </c>
      <c r="AQ29" t="s">
        <v>264</v>
      </c>
      <c r="AR29">
        <v>30358</v>
      </c>
      <c r="AS29" t="s">
        <v>265</v>
      </c>
      <c r="AT29">
        <v>9</v>
      </c>
      <c r="AU29">
        <v>2</v>
      </c>
      <c r="AV29" t="s">
        <v>266</v>
      </c>
      <c r="AW29">
        <v>0</v>
      </c>
      <c r="AX29">
        <v>50</v>
      </c>
      <c r="AY29">
        <v>50</v>
      </c>
      <c r="AZ29" t="s">
        <v>285</v>
      </c>
      <c r="BC29">
        <v>1</v>
      </c>
      <c r="BE29">
        <v>1</v>
      </c>
      <c r="BG29">
        <v>0</v>
      </c>
      <c r="BH29">
        <v>100</v>
      </c>
      <c r="BI29">
        <v>0</v>
      </c>
      <c r="BK29">
        <v>3.5879707999999999</v>
      </c>
      <c r="BL29">
        <v>3.5879707999999999</v>
      </c>
      <c r="BM29">
        <v>0</v>
      </c>
      <c r="BN29">
        <v>20.323786999999999</v>
      </c>
      <c r="BO29">
        <v>3.0837870000000001</v>
      </c>
      <c r="BP29">
        <v>17.239999999999998</v>
      </c>
      <c r="BQ29">
        <v>-0.69825356999999999</v>
      </c>
      <c r="BR29">
        <v>0.21034643</v>
      </c>
      <c r="BS29">
        <v>-0.90859999999999996</v>
      </c>
      <c r="BT29">
        <v>1.2826999000000001E-3</v>
      </c>
      <c r="BU29">
        <v>5.8292358999999998E-4</v>
      </c>
      <c r="BV29">
        <v>5.0843204000000002E-4</v>
      </c>
      <c r="BW29" s="2">
        <v>1.8139999999999999E-8</v>
      </c>
      <c r="BX29">
        <v>0</v>
      </c>
      <c r="BY29">
        <v>0</v>
      </c>
      <c r="BZ29">
        <v>6</v>
      </c>
      <c r="CA29">
        <v>40.902867120000003</v>
      </c>
      <c r="CB29">
        <v>40.902867120000003</v>
      </c>
      <c r="CC29">
        <v>0</v>
      </c>
      <c r="CD29">
        <v>231.69117180000001</v>
      </c>
      <c r="CE29">
        <v>35.155171799999998</v>
      </c>
      <c r="CF29">
        <v>196.536</v>
      </c>
      <c r="CG29">
        <v>-7.9600906980000001</v>
      </c>
      <c r="CH29">
        <v>2.3979493019999998</v>
      </c>
      <c r="CI29">
        <v>-10.358040000000001</v>
      </c>
      <c r="CJ29">
        <v>1.462277886E-2</v>
      </c>
      <c r="CK29">
        <v>6.6453289259999996E-3</v>
      </c>
      <c r="CL29">
        <v>5.7961252559999999E-3</v>
      </c>
      <c r="CM29" s="2">
        <v>2.0679599999999999E-7</v>
      </c>
      <c r="CN29">
        <v>1.9864509690000001</v>
      </c>
      <c r="CO29">
        <v>91.142185072467001</v>
      </c>
      <c r="CP29">
        <v>2.7838283245673998</v>
      </c>
      <c r="CQ29">
        <v>2.7838283245673998</v>
      </c>
      <c r="CR29">
        <v>0</v>
      </c>
      <c r="CS29">
        <v>15.768783266873999</v>
      </c>
      <c r="CT29">
        <v>2.3926431055494</v>
      </c>
      <c r="CU29">
        <v>13.376140161325001</v>
      </c>
      <c r="CV29">
        <v>-0.54175972276481998</v>
      </c>
      <c r="CW29">
        <v>0.16320320940338001</v>
      </c>
      <c r="CX29">
        <v>-0.70496293216821004</v>
      </c>
      <c r="CY29">
        <v>9.952188890555401E-4</v>
      </c>
      <c r="CZ29">
        <v>4.5227770552103998E-4</v>
      </c>
      <c r="DA29">
        <v>3.9448133582067001E-4</v>
      </c>
      <c r="DB29" s="2">
        <v>1.4074430540977E-8</v>
      </c>
    </row>
    <row r="30" spans="1:106" x14ac:dyDescent="0.25">
      <c r="A30">
        <v>25868</v>
      </c>
      <c r="B30" t="s">
        <v>284</v>
      </c>
      <c r="C30">
        <v>50</v>
      </c>
      <c r="D30" t="s">
        <v>261</v>
      </c>
      <c r="E30">
        <v>2</v>
      </c>
      <c r="F30" t="s">
        <v>167</v>
      </c>
      <c r="G30">
        <v>31799.16</v>
      </c>
      <c r="H30" t="s">
        <v>0</v>
      </c>
      <c r="I30">
        <v>4</v>
      </c>
      <c r="J30">
        <v>31799.16</v>
      </c>
      <c r="L30">
        <v>92117.401014000003</v>
      </c>
      <c r="O30">
        <v>796831</v>
      </c>
      <c r="P30" t="s">
        <v>18</v>
      </c>
      <c r="Q30">
        <v>102</v>
      </c>
      <c r="R30" t="s">
        <v>262</v>
      </c>
      <c r="S30" t="s">
        <v>263</v>
      </c>
      <c r="T30">
        <v>2164.2346499999999</v>
      </c>
      <c r="V30">
        <v>2142718766</v>
      </c>
      <c r="W30" t="s">
        <v>10</v>
      </c>
      <c r="Y30">
        <v>1E-3</v>
      </c>
      <c r="AF30" t="s">
        <v>5</v>
      </c>
      <c r="AG30" t="s">
        <v>6</v>
      </c>
      <c r="AH30" s="1">
        <v>1</v>
      </c>
      <c r="AI30">
        <v>1E-3</v>
      </c>
      <c r="AJ30">
        <v>300</v>
      </c>
      <c r="AK30">
        <v>0.3</v>
      </c>
      <c r="AM30">
        <v>0.3</v>
      </c>
      <c r="AN30">
        <v>649.27039500000001</v>
      </c>
      <c r="AO30">
        <v>2.0417847358231999E-2</v>
      </c>
      <c r="AP30" t="s">
        <v>0</v>
      </c>
      <c r="AQ30" t="s">
        <v>264</v>
      </c>
      <c r="AR30">
        <v>30358</v>
      </c>
      <c r="AS30" t="s">
        <v>265</v>
      </c>
      <c r="AT30">
        <v>10</v>
      </c>
      <c r="AU30">
        <v>1</v>
      </c>
      <c r="AV30" t="s">
        <v>266</v>
      </c>
      <c r="AW30">
        <v>1</v>
      </c>
      <c r="AX30">
        <v>25</v>
      </c>
      <c r="AY30">
        <v>25</v>
      </c>
      <c r="AZ30" t="s">
        <v>286</v>
      </c>
      <c r="BC30">
        <v>3</v>
      </c>
      <c r="BE30">
        <v>3</v>
      </c>
      <c r="BG30">
        <v>0</v>
      </c>
      <c r="BH30">
        <v>100</v>
      </c>
      <c r="BI30">
        <v>0</v>
      </c>
      <c r="BK30">
        <v>85.988403000000005</v>
      </c>
      <c r="BL30">
        <v>43.518402999999999</v>
      </c>
      <c r="BM30">
        <v>42.47</v>
      </c>
      <c r="BN30">
        <v>1.3022769000000001</v>
      </c>
      <c r="BO30">
        <v>1.3022769000000001</v>
      </c>
      <c r="BP30">
        <v>0</v>
      </c>
      <c r="BQ30">
        <v>2.8430924000000002</v>
      </c>
      <c r="BR30">
        <v>2.8640924000000001</v>
      </c>
      <c r="BS30">
        <v>-2.1000000000000001E-2</v>
      </c>
      <c r="BT30">
        <v>8.3217996000000006E-3</v>
      </c>
      <c r="BU30">
        <v>1.6064606999999999E-3</v>
      </c>
      <c r="BV30">
        <v>2.4785428000000001E-3</v>
      </c>
      <c r="BW30" s="2">
        <v>3.9116873999999998E-8</v>
      </c>
      <c r="BX30">
        <v>0</v>
      </c>
      <c r="BY30">
        <v>0</v>
      </c>
      <c r="BZ30">
        <v>6</v>
      </c>
      <c r="CA30">
        <v>51.593041800000002</v>
      </c>
      <c r="CB30">
        <v>26.111041799999999</v>
      </c>
      <c r="CC30">
        <v>25.481999999999999</v>
      </c>
      <c r="CD30">
        <v>0.78136614000000004</v>
      </c>
      <c r="CE30">
        <v>0.78136614000000004</v>
      </c>
      <c r="CF30">
        <v>0</v>
      </c>
      <c r="CG30">
        <v>1.7121554400000001</v>
      </c>
      <c r="CH30">
        <v>1.7184554400000001</v>
      </c>
      <c r="CI30">
        <v>-6.3E-3</v>
      </c>
      <c r="CJ30">
        <v>4.9930797599999997E-3</v>
      </c>
      <c r="CK30">
        <v>9.6387641999999996E-4</v>
      </c>
      <c r="CL30">
        <v>1.4871256800000001E-3</v>
      </c>
      <c r="CM30" s="2">
        <v>2.3470124400000001E-8</v>
      </c>
      <c r="CN30">
        <v>2.670871268</v>
      </c>
      <c r="CO30">
        <v>91.142185072467001</v>
      </c>
      <c r="CP30">
        <v>3.5113961740642998</v>
      </c>
      <c r="CQ30">
        <v>1.7771042194561</v>
      </c>
      <c r="CR30">
        <v>1.7342919546082001</v>
      </c>
      <c r="CS30">
        <v>5.3179381924702999E-2</v>
      </c>
      <c r="CT30">
        <v>5.3179381924702999E-2</v>
      </c>
      <c r="CU30">
        <v>0</v>
      </c>
      <c r="CV30">
        <v>0.11652842809162001</v>
      </c>
      <c r="CW30">
        <v>0.11695720288615</v>
      </c>
      <c r="CX30">
        <v>-4.2877479452287001E-4</v>
      </c>
      <c r="CY30">
        <v>3.3982646795718997E-4</v>
      </c>
      <c r="CZ30" s="2">
        <v>6.5600938719197001E-5</v>
      </c>
      <c r="DA30">
        <v>1.0121301712249E-4</v>
      </c>
      <c r="DB30" s="2">
        <v>1.5973647249264E-9</v>
      </c>
    </row>
    <row r="31" spans="1:106" x14ac:dyDescent="0.25">
      <c r="A31">
        <v>25868</v>
      </c>
      <c r="B31" t="s">
        <v>284</v>
      </c>
      <c r="C31">
        <v>50</v>
      </c>
      <c r="D31" t="s">
        <v>261</v>
      </c>
      <c r="E31">
        <v>2</v>
      </c>
      <c r="F31" t="s">
        <v>167</v>
      </c>
      <c r="G31">
        <v>31799.16</v>
      </c>
      <c r="H31" t="s">
        <v>0</v>
      </c>
      <c r="I31">
        <v>4</v>
      </c>
      <c r="J31">
        <v>31799.16</v>
      </c>
      <c r="L31">
        <v>92117.401014000003</v>
      </c>
      <c r="O31">
        <v>796831</v>
      </c>
      <c r="P31" t="s">
        <v>18</v>
      </c>
      <c r="Q31">
        <v>102</v>
      </c>
      <c r="R31" t="s">
        <v>262</v>
      </c>
      <c r="S31" t="s">
        <v>263</v>
      </c>
      <c r="T31">
        <v>2164.2346499999999</v>
      </c>
      <c r="V31">
        <v>2142738743</v>
      </c>
      <c r="W31" t="s">
        <v>20</v>
      </c>
      <c r="Y31">
        <v>1.8E-3</v>
      </c>
      <c r="AF31" t="s">
        <v>5</v>
      </c>
      <c r="AG31" t="s">
        <v>6</v>
      </c>
      <c r="AH31" s="1">
        <v>1</v>
      </c>
      <c r="AI31">
        <v>1.8E-3</v>
      </c>
      <c r="AJ31">
        <v>2800</v>
      </c>
      <c r="AK31">
        <v>5.04</v>
      </c>
      <c r="AM31">
        <v>5.04</v>
      </c>
      <c r="AN31">
        <v>10907.742636000001</v>
      </c>
      <c r="AO31">
        <v>0.34301983561830002</v>
      </c>
      <c r="AP31" t="s">
        <v>0</v>
      </c>
      <c r="AQ31" t="s">
        <v>264</v>
      </c>
      <c r="AR31">
        <v>30358</v>
      </c>
      <c r="AS31" t="s">
        <v>265</v>
      </c>
      <c r="AT31">
        <v>11</v>
      </c>
      <c r="AU31">
        <v>1</v>
      </c>
      <c r="AV31" t="s">
        <v>266</v>
      </c>
      <c r="AW31">
        <v>0</v>
      </c>
      <c r="AX31">
        <v>50</v>
      </c>
      <c r="AY31">
        <v>50</v>
      </c>
      <c r="AZ31" t="s">
        <v>285</v>
      </c>
      <c r="BC31">
        <v>1</v>
      </c>
      <c r="BE31">
        <v>1</v>
      </c>
      <c r="BG31">
        <v>0</v>
      </c>
      <c r="BH31">
        <v>0</v>
      </c>
      <c r="BI31">
        <v>100</v>
      </c>
      <c r="BK31">
        <v>114.04756</v>
      </c>
      <c r="BL31">
        <v>114.04756</v>
      </c>
      <c r="BM31">
        <v>0</v>
      </c>
      <c r="BN31">
        <v>24.230383</v>
      </c>
      <c r="BO31">
        <v>24.230383</v>
      </c>
      <c r="BP31">
        <v>0</v>
      </c>
      <c r="BQ31">
        <v>9.1452820999999993</v>
      </c>
      <c r="BR31">
        <v>9.1542820999999996</v>
      </c>
      <c r="BS31">
        <v>-8.9999999999999993E-3</v>
      </c>
      <c r="BT31">
        <v>4.1693915999999998E-2</v>
      </c>
      <c r="BU31">
        <v>1.5729371999999998E-2</v>
      </c>
      <c r="BV31">
        <v>4.5273911E-3</v>
      </c>
      <c r="BW31" s="2">
        <v>5.7695943999999998E-7</v>
      </c>
      <c r="BX31">
        <v>0</v>
      </c>
      <c r="BY31">
        <v>0</v>
      </c>
      <c r="BZ31">
        <v>6</v>
      </c>
      <c r="CA31">
        <v>574.7997024</v>
      </c>
      <c r="CB31">
        <v>574.7997024</v>
      </c>
      <c r="CC31">
        <v>0</v>
      </c>
      <c r="CD31">
        <v>122.12113032000001</v>
      </c>
      <c r="CE31">
        <v>122.12113032000001</v>
      </c>
      <c r="CF31">
        <v>0</v>
      </c>
      <c r="CG31">
        <v>46.092221784000003</v>
      </c>
      <c r="CH31">
        <v>46.137581783999998</v>
      </c>
      <c r="CI31">
        <v>-4.5359999999999998E-2</v>
      </c>
      <c r="CJ31">
        <v>0.21013733664000001</v>
      </c>
      <c r="CK31">
        <v>7.9276034879999999E-2</v>
      </c>
      <c r="CL31">
        <v>2.2818051143999998E-2</v>
      </c>
      <c r="CM31" s="2">
        <v>2.9078755776E-6</v>
      </c>
      <c r="CN31">
        <v>54.860338595999998</v>
      </c>
      <c r="CO31">
        <v>91.142185072467001</v>
      </c>
      <c r="CP31">
        <v>39.120575283868</v>
      </c>
      <c r="CQ31">
        <v>39.120575283868</v>
      </c>
      <c r="CR31">
        <v>0</v>
      </c>
      <c r="CS31">
        <v>8.3115019936284007</v>
      </c>
      <c r="CT31">
        <v>8.3115019936284007</v>
      </c>
      <c r="CU31">
        <v>0</v>
      </c>
      <c r="CV31">
        <v>3.1370131626250002</v>
      </c>
      <c r="CW31">
        <v>3.1401003411455002</v>
      </c>
      <c r="CX31">
        <v>-3.0871785205647002E-3</v>
      </c>
      <c r="CY31">
        <v>1.4301840212602999E-2</v>
      </c>
      <c r="CZ31">
        <v>5.3954865978191003E-3</v>
      </c>
      <c r="DA31">
        <v>1.5529849509018001E-3</v>
      </c>
      <c r="DB31" s="2">
        <v>1.9790853226723E-7</v>
      </c>
    </row>
    <row r="32" spans="1:106" x14ac:dyDescent="0.25">
      <c r="A32">
        <v>25868</v>
      </c>
      <c r="B32" t="s">
        <v>284</v>
      </c>
      <c r="C32">
        <v>50</v>
      </c>
      <c r="D32" t="s">
        <v>261</v>
      </c>
      <c r="E32">
        <v>2</v>
      </c>
      <c r="F32" t="s">
        <v>167</v>
      </c>
      <c r="G32">
        <v>31799.16</v>
      </c>
      <c r="H32" t="s">
        <v>0</v>
      </c>
      <c r="I32">
        <v>4</v>
      </c>
      <c r="J32">
        <v>31799.16</v>
      </c>
      <c r="L32">
        <v>92117.401014000003</v>
      </c>
      <c r="O32">
        <v>796831</v>
      </c>
      <c r="P32" t="s">
        <v>18</v>
      </c>
      <c r="Q32">
        <v>102</v>
      </c>
      <c r="R32" t="s">
        <v>262</v>
      </c>
      <c r="S32" t="s">
        <v>263</v>
      </c>
      <c r="T32">
        <v>2164.2346499999999</v>
      </c>
      <c r="V32">
        <v>2142717929</v>
      </c>
      <c r="W32" t="s">
        <v>21</v>
      </c>
      <c r="Y32">
        <v>8.9999999999999993E-3</v>
      </c>
      <c r="AF32" t="s">
        <v>5</v>
      </c>
      <c r="AG32" t="s">
        <v>6</v>
      </c>
      <c r="AH32" s="1">
        <v>1</v>
      </c>
      <c r="AI32">
        <v>8.9999999999999993E-3</v>
      </c>
      <c r="AJ32">
        <v>38</v>
      </c>
      <c r="AK32">
        <v>0.34200000000000003</v>
      </c>
      <c r="AM32">
        <v>0.34200000000000003</v>
      </c>
      <c r="AN32">
        <v>740.16825029999995</v>
      </c>
      <c r="AO32">
        <v>2.3276345988384999E-2</v>
      </c>
      <c r="AP32" t="s">
        <v>0</v>
      </c>
      <c r="AQ32" t="s">
        <v>264</v>
      </c>
      <c r="AR32">
        <v>30358</v>
      </c>
      <c r="AS32" t="s">
        <v>265</v>
      </c>
      <c r="AT32">
        <v>12</v>
      </c>
      <c r="AU32">
        <v>1</v>
      </c>
      <c r="AV32" t="s">
        <v>266</v>
      </c>
      <c r="AW32">
        <v>0</v>
      </c>
      <c r="AX32">
        <v>50</v>
      </c>
      <c r="AY32">
        <v>50</v>
      </c>
      <c r="AZ32" t="s">
        <v>285</v>
      </c>
      <c r="BC32">
        <v>5</v>
      </c>
      <c r="BE32">
        <v>4</v>
      </c>
      <c r="BG32">
        <v>0</v>
      </c>
      <c r="BH32">
        <v>100</v>
      </c>
      <c r="BI32">
        <v>0</v>
      </c>
      <c r="BK32">
        <v>131.42972</v>
      </c>
      <c r="BL32">
        <v>109.82971999999999</v>
      </c>
      <c r="BM32">
        <v>21.6</v>
      </c>
      <c r="BN32">
        <v>2.2548433000000001</v>
      </c>
      <c r="BO32">
        <v>2.2548433000000001</v>
      </c>
      <c r="BP32">
        <v>0</v>
      </c>
      <c r="BQ32">
        <v>5.0115335999999999</v>
      </c>
      <c r="BR32">
        <v>5.0115335999999999</v>
      </c>
      <c r="BS32">
        <v>0</v>
      </c>
      <c r="BT32">
        <v>1.7419766E-2</v>
      </c>
      <c r="BU32">
        <v>6.9117468000000001E-3</v>
      </c>
      <c r="BV32">
        <v>1.1384409999999999E-2</v>
      </c>
      <c r="BW32" s="2">
        <v>2.1427749999999999E-7</v>
      </c>
      <c r="BX32">
        <v>0</v>
      </c>
      <c r="BY32">
        <v>0</v>
      </c>
      <c r="BZ32">
        <v>6</v>
      </c>
      <c r="CA32">
        <v>44.948964240000002</v>
      </c>
      <c r="CB32">
        <v>37.561764240000002</v>
      </c>
      <c r="CC32">
        <v>7.3872</v>
      </c>
      <c r="CD32">
        <v>0.77115640860000001</v>
      </c>
      <c r="CE32">
        <v>0.77115640860000001</v>
      </c>
      <c r="CF32">
        <v>0</v>
      </c>
      <c r="CG32">
        <v>1.7139444911999999</v>
      </c>
      <c r="CH32">
        <v>1.7139444911999999</v>
      </c>
      <c r="CI32">
        <v>0</v>
      </c>
      <c r="CJ32">
        <v>5.9575599719999999E-3</v>
      </c>
      <c r="CK32">
        <v>2.3638174056E-3</v>
      </c>
      <c r="CL32">
        <v>3.8934682200000002E-3</v>
      </c>
      <c r="CM32" s="2">
        <v>7.3282904999999995E-8</v>
      </c>
      <c r="CN32">
        <v>2.5782975528000001</v>
      </c>
      <c r="CO32">
        <v>91.142185072467001</v>
      </c>
      <c r="CP32">
        <v>3.0592036358765</v>
      </c>
      <c r="CQ32">
        <v>2.5564345625274001</v>
      </c>
      <c r="CR32">
        <v>0.50276907334911003</v>
      </c>
      <c r="CS32">
        <v>5.2484512800391001E-2</v>
      </c>
      <c r="CT32">
        <v>5.2484512800391001E-2</v>
      </c>
      <c r="CU32">
        <v>0</v>
      </c>
      <c r="CV32">
        <v>0.11665019000601</v>
      </c>
      <c r="CW32">
        <v>0.11665019000601</v>
      </c>
      <c r="CX32">
        <v>0</v>
      </c>
      <c r="CY32">
        <v>4.0546850045269998E-4</v>
      </c>
      <c r="CZ32">
        <v>1.6088020990091001E-4</v>
      </c>
      <c r="DA32">
        <v>2.6498746603362998E-4</v>
      </c>
      <c r="DB32" s="2">
        <v>4.9875972275261004E-9</v>
      </c>
    </row>
    <row r="33" spans="1:106" x14ac:dyDescent="0.25">
      <c r="A33">
        <v>25868</v>
      </c>
      <c r="B33" t="s">
        <v>284</v>
      </c>
      <c r="C33">
        <v>50</v>
      </c>
      <c r="D33" t="s">
        <v>261</v>
      </c>
      <c r="E33">
        <v>2</v>
      </c>
      <c r="F33" t="s">
        <v>167</v>
      </c>
      <c r="G33">
        <v>31799.16</v>
      </c>
      <c r="H33" t="s">
        <v>0</v>
      </c>
      <c r="I33">
        <v>4</v>
      </c>
      <c r="J33">
        <v>31799.16</v>
      </c>
      <c r="L33">
        <v>92117.401014000003</v>
      </c>
      <c r="O33">
        <v>796832</v>
      </c>
      <c r="P33" t="s">
        <v>22</v>
      </c>
      <c r="Q33">
        <v>102</v>
      </c>
      <c r="R33" t="s">
        <v>262</v>
      </c>
      <c r="S33" t="s">
        <v>263</v>
      </c>
      <c r="T33">
        <v>144.06360000000001</v>
      </c>
      <c r="W33" t="s">
        <v>15</v>
      </c>
      <c r="Y33">
        <v>1E-3</v>
      </c>
      <c r="AF33" t="s">
        <v>5</v>
      </c>
      <c r="AG33" t="s">
        <v>6</v>
      </c>
      <c r="AH33" s="1">
        <v>1</v>
      </c>
      <c r="AI33">
        <v>1E-3</v>
      </c>
      <c r="AJ33">
        <v>1000</v>
      </c>
      <c r="AK33">
        <v>1</v>
      </c>
      <c r="AM33">
        <v>1</v>
      </c>
      <c r="AN33">
        <v>144.06360000000001</v>
      </c>
      <c r="AO33">
        <v>4.5304215583053002E-3</v>
      </c>
      <c r="AP33" t="s">
        <v>0</v>
      </c>
      <c r="AQ33" t="s">
        <v>264</v>
      </c>
      <c r="AR33">
        <v>30358</v>
      </c>
      <c r="AS33" t="s">
        <v>265</v>
      </c>
      <c r="AT33">
        <v>1</v>
      </c>
      <c r="AU33">
        <v>1</v>
      </c>
      <c r="AV33" t="s">
        <v>266</v>
      </c>
      <c r="AW33">
        <v>0</v>
      </c>
      <c r="AX33">
        <v>50</v>
      </c>
      <c r="AY33">
        <v>50</v>
      </c>
      <c r="AZ33" t="s">
        <v>285</v>
      </c>
      <c r="BC33">
        <v>4</v>
      </c>
      <c r="BE33">
        <v>5</v>
      </c>
      <c r="BG33">
        <v>100</v>
      </c>
      <c r="BH33">
        <v>0</v>
      </c>
      <c r="BI33">
        <v>0</v>
      </c>
      <c r="BK33">
        <v>3.0673550000000001</v>
      </c>
      <c r="BL33">
        <v>3.0673550000000001</v>
      </c>
      <c r="BM33">
        <v>0</v>
      </c>
      <c r="BN33">
        <v>0.19348889999999999</v>
      </c>
      <c r="BO33">
        <v>0.19348889999999999</v>
      </c>
      <c r="BP33">
        <v>0</v>
      </c>
      <c r="BQ33">
        <v>0.15785514</v>
      </c>
      <c r="BR33">
        <v>0.16285514000000001</v>
      </c>
      <c r="BS33">
        <v>-5.0000000000000001E-3</v>
      </c>
      <c r="BT33">
        <v>6.0359172000000005E-4</v>
      </c>
      <c r="BU33">
        <v>2.7267961000000001E-4</v>
      </c>
      <c r="BV33" s="2">
        <v>5.5086983000000003E-5</v>
      </c>
      <c r="BW33" s="2">
        <v>1.6862043E-8</v>
      </c>
      <c r="BX33">
        <v>0</v>
      </c>
      <c r="BY33">
        <v>0</v>
      </c>
      <c r="BZ33">
        <v>6</v>
      </c>
      <c r="CA33">
        <v>3.0673550000000001</v>
      </c>
      <c r="CB33">
        <v>3.0673550000000001</v>
      </c>
      <c r="CC33">
        <v>0</v>
      </c>
      <c r="CD33">
        <v>0.19348889999999999</v>
      </c>
      <c r="CE33">
        <v>0.19348889999999999</v>
      </c>
      <c r="CF33">
        <v>0</v>
      </c>
      <c r="CG33">
        <v>0.15785514</v>
      </c>
      <c r="CH33">
        <v>0.16285514000000001</v>
      </c>
      <c r="CI33">
        <v>-5.0000000000000001E-3</v>
      </c>
      <c r="CJ33">
        <v>6.0359172000000005E-4</v>
      </c>
      <c r="CK33">
        <v>2.7267961000000001E-4</v>
      </c>
      <c r="CL33" s="2">
        <v>5.5086983000000003E-5</v>
      </c>
      <c r="CM33" s="2">
        <v>1.6862043E-8</v>
      </c>
      <c r="CN33">
        <v>0.20903325266667</v>
      </c>
      <c r="CO33">
        <v>5.1178605076099997</v>
      </c>
      <c r="CP33">
        <v>1.3896411218976E-2</v>
      </c>
      <c r="CQ33">
        <v>1.3896411218976E-2</v>
      </c>
      <c r="CR33">
        <v>0</v>
      </c>
      <c r="CS33">
        <v>8.7658628385277998E-4</v>
      </c>
      <c r="CT33">
        <v>8.7658628385277998E-4</v>
      </c>
      <c r="CU33">
        <v>0</v>
      </c>
      <c r="CV33">
        <v>7.1515032934529996E-4</v>
      </c>
      <c r="CW33">
        <v>7.3780243713682996E-4</v>
      </c>
      <c r="CX33" s="2">
        <v>-2.2652107791526999E-5</v>
      </c>
      <c r="CY33" s="2">
        <v>2.7345249407025999E-6</v>
      </c>
      <c r="CZ33" s="2">
        <v>1.2353535836543001E-6</v>
      </c>
      <c r="DA33" s="2">
        <v>2.4956725536519997E-7</v>
      </c>
      <c r="DB33" s="2">
        <v>7.6392163124270997E-11</v>
      </c>
    </row>
    <row r="34" spans="1:106" x14ac:dyDescent="0.25">
      <c r="A34">
        <v>25868</v>
      </c>
      <c r="B34" t="s">
        <v>284</v>
      </c>
      <c r="C34">
        <v>50</v>
      </c>
      <c r="D34" t="s">
        <v>261</v>
      </c>
      <c r="E34">
        <v>2</v>
      </c>
      <c r="F34" t="s">
        <v>167</v>
      </c>
      <c r="G34">
        <v>31799.16</v>
      </c>
      <c r="H34" t="s">
        <v>0</v>
      </c>
      <c r="I34">
        <v>4</v>
      </c>
      <c r="J34">
        <v>31799.16</v>
      </c>
      <c r="L34">
        <v>92117.401014000003</v>
      </c>
      <c r="O34">
        <v>796832</v>
      </c>
      <c r="P34" t="s">
        <v>22</v>
      </c>
      <c r="Q34">
        <v>102</v>
      </c>
      <c r="R34" t="s">
        <v>262</v>
      </c>
      <c r="S34" t="s">
        <v>263</v>
      </c>
      <c r="T34">
        <v>144.06360000000001</v>
      </c>
      <c r="V34">
        <v>2142704379</v>
      </c>
      <c r="W34" t="s">
        <v>23</v>
      </c>
      <c r="Y34">
        <v>1.2500000000000001E-2</v>
      </c>
      <c r="AF34" t="s">
        <v>5</v>
      </c>
      <c r="AG34" t="s">
        <v>6</v>
      </c>
      <c r="AH34" s="1">
        <v>1</v>
      </c>
      <c r="AI34">
        <v>1.2500000000000001E-2</v>
      </c>
      <c r="AJ34">
        <v>1150</v>
      </c>
      <c r="AK34">
        <v>14.375</v>
      </c>
      <c r="AM34">
        <v>14.375</v>
      </c>
      <c r="AN34">
        <v>2070.9142499999998</v>
      </c>
      <c r="AO34">
        <v>6.5124809900639E-2</v>
      </c>
      <c r="AP34" t="s">
        <v>0</v>
      </c>
      <c r="AQ34" t="s">
        <v>264</v>
      </c>
      <c r="AR34">
        <v>30358</v>
      </c>
      <c r="AS34" t="s">
        <v>265</v>
      </c>
      <c r="AT34">
        <v>2</v>
      </c>
      <c r="AU34">
        <v>1</v>
      </c>
      <c r="AV34" t="s">
        <v>266</v>
      </c>
      <c r="AW34">
        <v>0</v>
      </c>
      <c r="AX34">
        <v>50</v>
      </c>
      <c r="AY34">
        <v>50</v>
      </c>
      <c r="AZ34" t="s">
        <v>285</v>
      </c>
      <c r="BC34">
        <v>4</v>
      </c>
      <c r="BE34">
        <v>3</v>
      </c>
      <c r="BG34">
        <v>100</v>
      </c>
      <c r="BH34">
        <v>0</v>
      </c>
      <c r="BI34">
        <v>0</v>
      </c>
      <c r="BK34">
        <v>5.401116</v>
      </c>
      <c r="BL34">
        <v>5.401116</v>
      </c>
      <c r="BM34">
        <v>0</v>
      </c>
      <c r="BN34">
        <v>3.2317733999999998</v>
      </c>
      <c r="BO34">
        <v>3.2317733999999998</v>
      </c>
      <c r="BP34">
        <v>0</v>
      </c>
      <c r="BQ34">
        <v>8.4483150000000007E-2</v>
      </c>
      <c r="BR34">
        <v>0.37648314999999999</v>
      </c>
      <c r="BS34">
        <v>-0.29199999999999998</v>
      </c>
      <c r="BT34">
        <v>1.5654682E-3</v>
      </c>
      <c r="BU34">
        <v>4.8524325999999999E-4</v>
      </c>
      <c r="BV34">
        <v>1.3231905000000001E-4</v>
      </c>
      <c r="BW34" s="2">
        <v>3.8549634999999997E-8</v>
      </c>
      <c r="BX34">
        <v>0</v>
      </c>
      <c r="BY34">
        <v>0</v>
      </c>
      <c r="BZ34">
        <v>6</v>
      </c>
      <c r="CA34">
        <v>77.641042499999998</v>
      </c>
      <c r="CB34">
        <v>77.641042499999998</v>
      </c>
      <c r="CC34">
        <v>0</v>
      </c>
      <c r="CD34">
        <v>46.456742624999997</v>
      </c>
      <c r="CE34">
        <v>46.456742624999997</v>
      </c>
      <c r="CF34">
        <v>0</v>
      </c>
      <c r="CG34">
        <v>1.21444528125</v>
      </c>
      <c r="CH34">
        <v>5.4119452812500004</v>
      </c>
      <c r="CI34">
        <v>-4.1974999999999998</v>
      </c>
      <c r="CJ34">
        <v>2.2503605374999999E-2</v>
      </c>
      <c r="CK34">
        <v>6.9753718625000004E-3</v>
      </c>
      <c r="CL34">
        <v>1.9020863437499999E-3</v>
      </c>
      <c r="CM34" s="2">
        <v>5.5415100312499999E-7</v>
      </c>
      <c r="CN34">
        <v>5.7909230135416996</v>
      </c>
      <c r="CO34">
        <v>5.1178605076099997</v>
      </c>
      <c r="CP34">
        <v>0.35174665275130002</v>
      </c>
      <c r="CQ34">
        <v>0.35174665275130002</v>
      </c>
      <c r="CR34">
        <v>0</v>
      </c>
      <c r="CS34">
        <v>0.21046862831693999</v>
      </c>
      <c r="CT34">
        <v>0.21046862831693999</v>
      </c>
      <c r="CU34">
        <v>0</v>
      </c>
      <c r="CV34">
        <v>5.5019490835572001E-3</v>
      </c>
      <c r="CW34">
        <v>2.4518393574543999E-2</v>
      </c>
      <c r="CX34">
        <v>-1.9016444490987001E-2</v>
      </c>
      <c r="CY34">
        <v>1.019508189305E-4</v>
      </c>
      <c r="CZ34" s="2">
        <v>3.1601375063065998E-5</v>
      </c>
      <c r="DA34" s="2">
        <v>8.6172529774831006E-6</v>
      </c>
      <c r="DB34" s="2">
        <v>2.5105376511140001E-9</v>
      </c>
    </row>
    <row r="35" spans="1:106" x14ac:dyDescent="0.25">
      <c r="A35">
        <v>25868</v>
      </c>
      <c r="B35" t="s">
        <v>284</v>
      </c>
      <c r="C35">
        <v>50</v>
      </c>
      <c r="D35" t="s">
        <v>261</v>
      </c>
      <c r="E35">
        <v>2</v>
      </c>
      <c r="F35" t="s">
        <v>167</v>
      </c>
      <c r="G35">
        <v>31799.16</v>
      </c>
      <c r="H35" t="s">
        <v>0</v>
      </c>
      <c r="I35">
        <v>4</v>
      </c>
      <c r="J35">
        <v>31799.16</v>
      </c>
      <c r="L35">
        <v>92117.401014000003</v>
      </c>
      <c r="O35">
        <v>796832</v>
      </c>
      <c r="P35" t="s">
        <v>22</v>
      </c>
      <c r="Q35">
        <v>102</v>
      </c>
      <c r="R35" t="s">
        <v>262</v>
      </c>
      <c r="S35" t="s">
        <v>263</v>
      </c>
      <c r="T35">
        <v>144.06360000000001</v>
      </c>
      <c r="V35">
        <v>2142686781</v>
      </c>
      <c r="W35" t="s">
        <v>24</v>
      </c>
      <c r="Y35">
        <v>2.9999999999999997E-4</v>
      </c>
      <c r="AF35" t="s">
        <v>5</v>
      </c>
      <c r="AG35" t="s">
        <v>6</v>
      </c>
      <c r="AH35" s="1">
        <v>1</v>
      </c>
      <c r="AI35">
        <v>2.9999999999999997E-4</v>
      </c>
      <c r="AJ35">
        <v>300</v>
      </c>
      <c r="AK35">
        <v>0.09</v>
      </c>
      <c r="AM35">
        <v>0.09</v>
      </c>
      <c r="AN35">
        <v>12.965724</v>
      </c>
      <c r="AO35">
        <v>4.0773794024748E-4</v>
      </c>
      <c r="AP35" t="s">
        <v>0</v>
      </c>
      <c r="AQ35" t="s">
        <v>264</v>
      </c>
      <c r="AR35">
        <v>30358</v>
      </c>
      <c r="AS35" t="s">
        <v>265</v>
      </c>
      <c r="AT35">
        <v>3</v>
      </c>
      <c r="AU35">
        <v>1</v>
      </c>
      <c r="AV35" t="s">
        <v>266</v>
      </c>
      <c r="AW35">
        <v>1</v>
      </c>
      <c r="AX35">
        <v>25</v>
      </c>
      <c r="AY35">
        <v>25</v>
      </c>
      <c r="AZ35" t="s">
        <v>286</v>
      </c>
      <c r="BC35">
        <v>3</v>
      </c>
      <c r="BE35">
        <v>3</v>
      </c>
      <c r="BG35">
        <v>0</v>
      </c>
      <c r="BH35">
        <v>100</v>
      </c>
      <c r="BI35">
        <v>0</v>
      </c>
      <c r="BK35">
        <v>85.988403000000005</v>
      </c>
      <c r="BL35">
        <v>43.518402999999999</v>
      </c>
      <c r="BM35">
        <v>42.47</v>
      </c>
      <c r="BN35">
        <v>1.3022769000000001</v>
      </c>
      <c r="BO35">
        <v>1.3022769000000001</v>
      </c>
      <c r="BP35">
        <v>0</v>
      </c>
      <c r="BQ35">
        <v>2.8430924000000002</v>
      </c>
      <c r="BR35">
        <v>2.8640924000000001</v>
      </c>
      <c r="BS35">
        <v>-2.1000000000000001E-2</v>
      </c>
      <c r="BT35">
        <v>8.3217996000000006E-3</v>
      </c>
      <c r="BU35">
        <v>1.6064606999999999E-3</v>
      </c>
      <c r="BV35">
        <v>2.4785428000000001E-3</v>
      </c>
      <c r="BW35" s="2">
        <v>3.9116873999999998E-8</v>
      </c>
      <c r="BX35">
        <v>0</v>
      </c>
      <c r="BY35">
        <v>0</v>
      </c>
      <c r="BZ35">
        <v>6</v>
      </c>
      <c r="CA35">
        <v>15.47791254</v>
      </c>
      <c r="CB35">
        <v>7.8333125399999997</v>
      </c>
      <c r="CC35">
        <v>7.6445999999999996</v>
      </c>
      <c r="CD35">
        <v>0.23440984200000001</v>
      </c>
      <c r="CE35">
        <v>0.23440984200000001</v>
      </c>
      <c r="CF35">
        <v>0</v>
      </c>
      <c r="CG35">
        <v>0.51364663200000005</v>
      </c>
      <c r="CH35">
        <v>0.51553663199999999</v>
      </c>
      <c r="CI35">
        <v>-1.89E-3</v>
      </c>
      <c r="CJ35">
        <v>1.4979239279999999E-3</v>
      </c>
      <c r="CK35">
        <v>2.8916292600000002E-4</v>
      </c>
      <c r="CL35">
        <v>4.4613770399999999E-4</v>
      </c>
      <c r="CM35" s="2">
        <v>7.04103732E-9</v>
      </c>
      <c r="CN35">
        <v>0.80126138039999995</v>
      </c>
      <c r="CO35">
        <v>5.1178605076099997</v>
      </c>
      <c r="CP35">
        <v>7.0121468648779994E-2</v>
      </c>
      <c r="CQ35">
        <v>3.5488208004159E-2</v>
      </c>
      <c r="CR35">
        <v>3.4633260644621001E-2</v>
      </c>
      <c r="CS35">
        <v>1.0619754016757E-3</v>
      </c>
      <c r="CT35">
        <v>1.0619754016757E-3</v>
      </c>
      <c r="CU35">
        <v>0</v>
      </c>
      <c r="CV35">
        <v>2.3270357749636999E-3</v>
      </c>
      <c r="CW35">
        <v>2.3355982717089001E-3</v>
      </c>
      <c r="CX35" s="2">
        <v>-8.5624967451970005E-6</v>
      </c>
      <c r="CY35" s="2">
        <v>6.7862268561125998E-6</v>
      </c>
      <c r="CZ35" s="2">
        <v>1.3100299538130001E-6</v>
      </c>
      <c r="DA35" s="2">
        <v>2.0211918721743998E-6</v>
      </c>
      <c r="DB35" s="2">
        <v>3.1898867267359999E-11</v>
      </c>
    </row>
    <row r="36" spans="1:106" x14ac:dyDescent="0.25">
      <c r="A36">
        <v>25868</v>
      </c>
      <c r="B36" t="s">
        <v>284</v>
      </c>
      <c r="C36">
        <v>50</v>
      </c>
      <c r="D36" t="s">
        <v>261</v>
      </c>
      <c r="E36">
        <v>2</v>
      </c>
      <c r="F36" t="s">
        <v>167</v>
      </c>
      <c r="G36">
        <v>31799.16</v>
      </c>
      <c r="H36" t="s">
        <v>0</v>
      </c>
      <c r="I36">
        <v>4</v>
      </c>
      <c r="J36">
        <v>31799.16</v>
      </c>
      <c r="L36">
        <v>92117.401014000003</v>
      </c>
      <c r="O36">
        <v>796832</v>
      </c>
      <c r="P36" t="s">
        <v>22</v>
      </c>
      <c r="Q36">
        <v>102</v>
      </c>
      <c r="R36" t="s">
        <v>262</v>
      </c>
      <c r="S36" t="s">
        <v>263</v>
      </c>
      <c r="T36">
        <v>144.06360000000001</v>
      </c>
      <c r="V36">
        <v>2142704379</v>
      </c>
      <c r="W36" t="s">
        <v>23</v>
      </c>
      <c r="Y36">
        <v>1.2500000000000001E-2</v>
      </c>
      <c r="AF36" t="s">
        <v>5</v>
      </c>
      <c r="AG36" t="s">
        <v>6</v>
      </c>
      <c r="AH36" s="1">
        <v>1</v>
      </c>
      <c r="AI36">
        <v>1.2500000000000001E-2</v>
      </c>
      <c r="AJ36">
        <v>1150</v>
      </c>
      <c r="AK36">
        <v>14.375</v>
      </c>
      <c r="AM36">
        <v>14.375</v>
      </c>
      <c r="AN36">
        <v>2070.9142499999998</v>
      </c>
      <c r="AO36">
        <v>6.5124809900639E-2</v>
      </c>
      <c r="AP36" t="s">
        <v>0</v>
      </c>
      <c r="AQ36" t="s">
        <v>264</v>
      </c>
      <c r="AR36">
        <v>30358</v>
      </c>
      <c r="AS36" t="s">
        <v>265</v>
      </c>
      <c r="AT36">
        <v>4</v>
      </c>
      <c r="AU36">
        <v>1</v>
      </c>
      <c r="AV36" t="s">
        <v>266</v>
      </c>
      <c r="AW36">
        <v>0</v>
      </c>
      <c r="AX36">
        <v>50</v>
      </c>
      <c r="AY36">
        <v>50</v>
      </c>
      <c r="AZ36" t="s">
        <v>285</v>
      </c>
      <c r="BC36">
        <v>4</v>
      </c>
      <c r="BE36">
        <v>3</v>
      </c>
      <c r="BG36">
        <v>100</v>
      </c>
      <c r="BH36">
        <v>0</v>
      </c>
      <c r="BI36">
        <v>0</v>
      </c>
      <c r="BK36">
        <v>5.401116</v>
      </c>
      <c r="BL36">
        <v>5.401116</v>
      </c>
      <c r="BM36">
        <v>0</v>
      </c>
      <c r="BN36">
        <v>3.2317733999999998</v>
      </c>
      <c r="BO36">
        <v>3.2317733999999998</v>
      </c>
      <c r="BP36">
        <v>0</v>
      </c>
      <c r="BQ36">
        <v>8.4483150000000007E-2</v>
      </c>
      <c r="BR36">
        <v>0.37648314999999999</v>
      </c>
      <c r="BS36">
        <v>-0.29199999999999998</v>
      </c>
      <c r="BT36">
        <v>1.5654682E-3</v>
      </c>
      <c r="BU36">
        <v>4.8524325999999999E-4</v>
      </c>
      <c r="BV36">
        <v>1.3231905000000001E-4</v>
      </c>
      <c r="BW36" s="2">
        <v>3.8549634999999997E-8</v>
      </c>
      <c r="BX36">
        <v>0</v>
      </c>
      <c r="BY36">
        <v>0</v>
      </c>
      <c r="BZ36">
        <v>6</v>
      </c>
      <c r="CA36">
        <v>77.641042499999998</v>
      </c>
      <c r="CB36">
        <v>77.641042499999998</v>
      </c>
      <c r="CC36">
        <v>0</v>
      </c>
      <c r="CD36">
        <v>46.456742624999997</v>
      </c>
      <c r="CE36">
        <v>46.456742624999997</v>
      </c>
      <c r="CF36">
        <v>0</v>
      </c>
      <c r="CG36">
        <v>1.21444528125</v>
      </c>
      <c r="CH36">
        <v>5.4119452812500004</v>
      </c>
      <c r="CI36">
        <v>-4.1974999999999998</v>
      </c>
      <c r="CJ36">
        <v>2.2503605374999999E-2</v>
      </c>
      <c r="CK36">
        <v>6.9753718625000004E-3</v>
      </c>
      <c r="CL36">
        <v>1.9020863437499999E-3</v>
      </c>
      <c r="CM36" s="2">
        <v>5.5415100312499999E-7</v>
      </c>
      <c r="CN36">
        <v>5.7909230135416996</v>
      </c>
      <c r="CO36">
        <v>5.1178605076099997</v>
      </c>
      <c r="CP36">
        <v>0.35174665275130002</v>
      </c>
      <c r="CQ36">
        <v>0.35174665275130002</v>
      </c>
      <c r="CR36">
        <v>0</v>
      </c>
      <c r="CS36">
        <v>0.21046862831693999</v>
      </c>
      <c r="CT36">
        <v>0.21046862831693999</v>
      </c>
      <c r="CU36">
        <v>0</v>
      </c>
      <c r="CV36">
        <v>5.5019490835572001E-3</v>
      </c>
      <c r="CW36">
        <v>2.4518393574543999E-2</v>
      </c>
      <c r="CX36">
        <v>-1.9016444490987001E-2</v>
      </c>
      <c r="CY36">
        <v>1.019508189305E-4</v>
      </c>
      <c r="CZ36" s="2">
        <v>3.1601375063065998E-5</v>
      </c>
      <c r="DA36" s="2">
        <v>8.6172529774831006E-6</v>
      </c>
      <c r="DB36" s="2">
        <v>2.5105376511140001E-9</v>
      </c>
    </row>
    <row r="37" spans="1:106" x14ac:dyDescent="0.25">
      <c r="A37">
        <v>25868</v>
      </c>
      <c r="B37" t="s">
        <v>284</v>
      </c>
      <c r="C37">
        <v>50</v>
      </c>
      <c r="D37" t="s">
        <v>261</v>
      </c>
      <c r="E37">
        <v>2</v>
      </c>
      <c r="F37" t="s">
        <v>167</v>
      </c>
      <c r="G37">
        <v>31799.16</v>
      </c>
      <c r="H37" t="s">
        <v>0</v>
      </c>
      <c r="I37">
        <v>4</v>
      </c>
      <c r="J37">
        <v>31799.16</v>
      </c>
      <c r="L37">
        <v>92117.401014000003</v>
      </c>
      <c r="O37">
        <v>796832</v>
      </c>
      <c r="P37" t="s">
        <v>22</v>
      </c>
      <c r="Q37">
        <v>102</v>
      </c>
      <c r="R37" t="s">
        <v>262</v>
      </c>
      <c r="S37" t="s">
        <v>263</v>
      </c>
      <c r="T37">
        <v>144.06360000000001</v>
      </c>
      <c r="V37">
        <v>2142717907</v>
      </c>
      <c r="W37" t="s">
        <v>7</v>
      </c>
      <c r="Y37">
        <v>0.12</v>
      </c>
      <c r="AF37" t="s">
        <v>5</v>
      </c>
      <c r="AG37" t="s">
        <v>6</v>
      </c>
      <c r="AH37" s="1">
        <v>0.8</v>
      </c>
      <c r="AI37">
        <v>9.6000000000000002E-2</v>
      </c>
      <c r="AJ37">
        <v>40</v>
      </c>
      <c r="AK37">
        <v>3.84</v>
      </c>
      <c r="AM37">
        <v>3.84</v>
      </c>
      <c r="AN37">
        <v>553.20422399999995</v>
      </c>
      <c r="AO37">
        <v>1.7396818783892001E-2</v>
      </c>
      <c r="AP37" t="s">
        <v>0</v>
      </c>
      <c r="AQ37" t="s">
        <v>264</v>
      </c>
      <c r="AR37">
        <v>30358</v>
      </c>
      <c r="AS37" t="s">
        <v>265</v>
      </c>
      <c r="AT37">
        <v>5</v>
      </c>
      <c r="AU37">
        <v>1</v>
      </c>
      <c r="AV37" t="s">
        <v>266</v>
      </c>
      <c r="AW37">
        <v>0</v>
      </c>
      <c r="AX37">
        <v>50</v>
      </c>
      <c r="AY37">
        <v>50</v>
      </c>
      <c r="AZ37" t="s">
        <v>285</v>
      </c>
      <c r="BC37">
        <v>4</v>
      </c>
      <c r="BE37">
        <v>3</v>
      </c>
      <c r="BG37">
        <v>100</v>
      </c>
      <c r="BH37">
        <v>0</v>
      </c>
      <c r="BI37">
        <v>0</v>
      </c>
      <c r="BK37">
        <v>21.343074999999999</v>
      </c>
      <c r="BL37">
        <v>21.343074999999999</v>
      </c>
      <c r="BM37">
        <v>0</v>
      </c>
      <c r="BN37">
        <v>0.78469758000000001</v>
      </c>
      <c r="BO37">
        <v>0.78469758000000001</v>
      </c>
      <c r="BP37">
        <v>0</v>
      </c>
      <c r="BQ37">
        <v>1.7409311000000001</v>
      </c>
      <c r="BR37">
        <v>1.7409311000000001</v>
      </c>
      <c r="BS37">
        <v>0</v>
      </c>
      <c r="BT37">
        <v>1.1809325000000001E-2</v>
      </c>
      <c r="BU37">
        <v>3.1100953999999999E-3</v>
      </c>
      <c r="BV37">
        <v>5.0632319000000004E-3</v>
      </c>
      <c r="BW37" s="2">
        <v>7.0109999999999997E-8</v>
      </c>
      <c r="BX37">
        <v>0</v>
      </c>
      <c r="BY37">
        <v>0</v>
      </c>
      <c r="BZ37">
        <v>6</v>
      </c>
      <c r="CA37">
        <v>81.957408000000001</v>
      </c>
      <c r="CB37">
        <v>81.957408000000001</v>
      </c>
      <c r="CC37">
        <v>0</v>
      </c>
      <c r="CD37">
        <v>3.0132387072000002</v>
      </c>
      <c r="CE37">
        <v>3.0132387072000002</v>
      </c>
      <c r="CF37">
        <v>0</v>
      </c>
      <c r="CG37">
        <v>6.6851754239999996</v>
      </c>
      <c r="CH37">
        <v>6.6851754239999996</v>
      </c>
      <c r="CI37">
        <v>0</v>
      </c>
      <c r="CJ37">
        <v>4.5347808000000003E-2</v>
      </c>
      <c r="CK37">
        <v>1.1942766335999999E-2</v>
      </c>
      <c r="CL37">
        <v>1.9442810495999999E-2</v>
      </c>
      <c r="CM37" s="2">
        <v>2.692224E-7</v>
      </c>
      <c r="CN37">
        <v>9.8924839040000005</v>
      </c>
      <c r="CO37">
        <v>5.1178605076099997</v>
      </c>
      <c r="CP37">
        <v>0.37130160806601997</v>
      </c>
      <c r="CQ37">
        <v>0.37130160806601997</v>
      </c>
      <c r="CR37">
        <v>0</v>
      </c>
      <c r="CS37">
        <v>1.3651241599419E-2</v>
      </c>
      <c r="CT37">
        <v>1.3651241599419E-2</v>
      </c>
      <c r="CU37">
        <v>0</v>
      </c>
      <c r="CV37">
        <v>3.0286662861941999E-2</v>
      </c>
      <c r="CW37">
        <v>3.0286662861941999E-2</v>
      </c>
      <c r="CX37">
        <v>0</v>
      </c>
      <c r="CY37">
        <v>2.0544468698509001E-4</v>
      </c>
      <c r="CZ37" s="2">
        <v>5.4105766074417001E-5</v>
      </c>
      <c r="DA37" s="2">
        <v>8.8084127825122996E-5</v>
      </c>
      <c r="DB37" s="2">
        <v>1.2196909649386999E-9</v>
      </c>
    </row>
    <row r="38" spans="1:106" x14ac:dyDescent="0.25">
      <c r="A38">
        <v>25868</v>
      </c>
      <c r="B38" t="s">
        <v>284</v>
      </c>
      <c r="C38">
        <v>50</v>
      </c>
      <c r="D38" t="s">
        <v>261</v>
      </c>
      <c r="E38">
        <v>2</v>
      </c>
      <c r="F38" t="s">
        <v>167</v>
      </c>
      <c r="G38">
        <v>31799.16</v>
      </c>
      <c r="H38" t="s">
        <v>0</v>
      </c>
      <c r="I38">
        <v>4</v>
      </c>
      <c r="J38">
        <v>31799.16</v>
      </c>
      <c r="L38">
        <v>92117.401014000003</v>
      </c>
      <c r="O38">
        <v>796832</v>
      </c>
      <c r="P38" t="s">
        <v>22</v>
      </c>
      <c r="Q38">
        <v>102</v>
      </c>
      <c r="R38" t="s">
        <v>262</v>
      </c>
      <c r="S38" t="s">
        <v>263</v>
      </c>
      <c r="T38">
        <v>144.06360000000001</v>
      </c>
      <c r="V38">
        <v>2142718934</v>
      </c>
      <c r="W38" t="s">
        <v>8</v>
      </c>
      <c r="Y38">
        <v>0.12</v>
      </c>
      <c r="AF38" t="s">
        <v>5</v>
      </c>
      <c r="AG38" t="s">
        <v>6</v>
      </c>
      <c r="AH38" s="1">
        <v>0.2</v>
      </c>
      <c r="AI38">
        <v>2.4E-2</v>
      </c>
      <c r="AJ38">
        <v>475</v>
      </c>
      <c r="AK38">
        <v>11.4</v>
      </c>
      <c r="AM38">
        <v>11.4</v>
      </c>
      <c r="AN38">
        <v>1642.3250399999999</v>
      </c>
      <c r="AO38">
        <v>5.1646805764681003E-2</v>
      </c>
      <c r="AP38" t="s">
        <v>0</v>
      </c>
      <c r="AQ38" t="s">
        <v>264</v>
      </c>
      <c r="AR38">
        <v>30358</v>
      </c>
      <c r="AS38" t="s">
        <v>265</v>
      </c>
      <c r="AT38">
        <v>5</v>
      </c>
      <c r="AU38">
        <v>2</v>
      </c>
      <c r="AV38" t="s">
        <v>266</v>
      </c>
      <c r="AW38">
        <v>0</v>
      </c>
      <c r="AX38">
        <v>50</v>
      </c>
      <c r="AY38">
        <v>50</v>
      </c>
      <c r="AZ38" t="s">
        <v>285</v>
      </c>
      <c r="BC38">
        <v>1</v>
      </c>
      <c r="BE38">
        <v>1</v>
      </c>
      <c r="BG38">
        <v>0</v>
      </c>
      <c r="BH38">
        <v>100</v>
      </c>
      <c r="BI38">
        <v>0</v>
      </c>
      <c r="BK38">
        <v>3.5879707999999999</v>
      </c>
      <c r="BL38">
        <v>3.5879707999999999</v>
      </c>
      <c r="BM38">
        <v>0</v>
      </c>
      <c r="BN38">
        <v>20.323786999999999</v>
      </c>
      <c r="BO38">
        <v>3.0837870000000001</v>
      </c>
      <c r="BP38">
        <v>17.239999999999998</v>
      </c>
      <c r="BQ38">
        <v>-0.69825356999999999</v>
      </c>
      <c r="BR38">
        <v>0.21034643</v>
      </c>
      <c r="BS38">
        <v>-0.90859999999999996</v>
      </c>
      <c r="BT38">
        <v>1.2826999000000001E-3</v>
      </c>
      <c r="BU38">
        <v>5.8292358999999998E-4</v>
      </c>
      <c r="BV38">
        <v>5.0843204000000002E-4</v>
      </c>
      <c r="BW38" s="2">
        <v>1.8139999999999999E-8</v>
      </c>
      <c r="BX38">
        <v>0</v>
      </c>
      <c r="BY38">
        <v>0</v>
      </c>
      <c r="BZ38">
        <v>6</v>
      </c>
      <c r="CA38">
        <v>40.902867120000003</v>
      </c>
      <c r="CB38">
        <v>40.902867120000003</v>
      </c>
      <c r="CC38">
        <v>0</v>
      </c>
      <c r="CD38">
        <v>231.69117180000001</v>
      </c>
      <c r="CE38">
        <v>35.155171799999998</v>
      </c>
      <c r="CF38">
        <v>196.536</v>
      </c>
      <c r="CG38">
        <v>-7.9600906980000001</v>
      </c>
      <c r="CH38">
        <v>2.3979493019999998</v>
      </c>
      <c r="CI38">
        <v>-10.358040000000001</v>
      </c>
      <c r="CJ38">
        <v>1.462277886E-2</v>
      </c>
      <c r="CK38">
        <v>6.6453289259999996E-3</v>
      </c>
      <c r="CL38">
        <v>5.7961252559999999E-3</v>
      </c>
      <c r="CM38" s="2">
        <v>2.0679599999999999E-7</v>
      </c>
      <c r="CN38">
        <v>1.9864509690000001</v>
      </c>
      <c r="CO38">
        <v>5.1178605076099997</v>
      </c>
      <c r="CP38">
        <v>0.18530723099695001</v>
      </c>
      <c r="CQ38">
        <v>0.18530723099695001</v>
      </c>
      <c r="CR38">
        <v>0</v>
      </c>
      <c r="CS38">
        <v>1.0496586795917</v>
      </c>
      <c r="CT38">
        <v>0.15926774820865</v>
      </c>
      <c r="CU38">
        <v>0.89039093138309</v>
      </c>
      <c r="CV38">
        <v>-3.6062566504285E-2</v>
      </c>
      <c r="CW38">
        <v>1.0863721213504001E-2</v>
      </c>
      <c r="CX38">
        <v>-4.6926287717788999E-2</v>
      </c>
      <c r="CY38" s="2">
        <v>6.6247352589675004E-5</v>
      </c>
      <c r="CZ38" s="2">
        <v>3.010614142838E-5</v>
      </c>
      <c r="DA38" s="2">
        <v>2.625889081442E-5</v>
      </c>
      <c r="DB38" s="2">
        <v>9.3687305657130997E-10</v>
      </c>
    </row>
    <row r="39" spans="1:106" x14ac:dyDescent="0.25">
      <c r="A39">
        <v>25868</v>
      </c>
      <c r="B39" t="s">
        <v>284</v>
      </c>
      <c r="C39">
        <v>50</v>
      </c>
      <c r="D39" t="s">
        <v>261</v>
      </c>
      <c r="E39">
        <v>2</v>
      </c>
      <c r="F39" t="s">
        <v>167</v>
      </c>
      <c r="G39">
        <v>31799.16</v>
      </c>
      <c r="H39" t="s">
        <v>0</v>
      </c>
      <c r="I39">
        <v>4</v>
      </c>
      <c r="J39">
        <v>31799.16</v>
      </c>
      <c r="L39">
        <v>92117.401014000003</v>
      </c>
      <c r="O39">
        <v>796832</v>
      </c>
      <c r="P39" t="s">
        <v>22</v>
      </c>
      <c r="Q39">
        <v>102</v>
      </c>
      <c r="R39" t="s">
        <v>262</v>
      </c>
      <c r="S39" t="s">
        <v>263</v>
      </c>
      <c r="T39">
        <v>144.06360000000001</v>
      </c>
      <c r="W39" t="s">
        <v>25</v>
      </c>
      <c r="Y39">
        <v>6.0000000000000001E-3</v>
      </c>
      <c r="AF39" t="s">
        <v>5</v>
      </c>
      <c r="AG39" t="s">
        <v>6</v>
      </c>
      <c r="AH39" s="1">
        <v>1</v>
      </c>
      <c r="AI39">
        <v>6.0000000000000001E-3</v>
      </c>
      <c r="AJ39">
        <v>130</v>
      </c>
      <c r="AK39">
        <v>0.78</v>
      </c>
      <c r="AM39">
        <v>0.78</v>
      </c>
      <c r="AN39">
        <v>112.369608</v>
      </c>
      <c r="AO39">
        <v>3.5337288154780998E-3</v>
      </c>
      <c r="AP39" t="s">
        <v>0</v>
      </c>
      <c r="AQ39" t="s">
        <v>264</v>
      </c>
      <c r="AR39">
        <v>30358</v>
      </c>
      <c r="AS39" t="s">
        <v>265</v>
      </c>
      <c r="AT39">
        <v>6</v>
      </c>
      <c r="AU39">
        <v>1</v>
      </c>
      <c r="AV39" t="s">
        <v>266</v>
      </c>
      <c r="AW39">
        <v>0</v>
      </c>
      <c r="AX39">
        <v>50</v>
      </c>
      <c r="AY39">
        <v>50</v>
      </c>
      <c r="AZ39" t="s">
        <v>285</v>
      </c>
      <c r="BC39">
        <v>4</v>
      </c>
      <c r="BE39">
        <v>3</v>
      </c>
      <c r="BG39">
        <v>0</v>
      </c>
      <c r="BH39">
        <v>100</v>
      </c>
      <c r="BI39">
        <v>0</v>
      </c>
      <c r="BK39">
        <v>14.769349</v>
      </c>
      <c r="BL39">
        <v>13.220148999999999</v>
      </c>
      <c r="BM39">
        <v>1.5491999999999999</v>
      </c>
      <c r="BN39">
        <v>18.249452000000002</v>
      </c>
      <c r="BO39">
        <v>1.8490519999999999</v>
      </c>
      <c r="BP39">
        <v>16.400400000000001</v>
      </c>
      <c r="BQ39">
        <v>-1.2006950000000001E-2</v>
      </c>
      <c r="BR39">
        <v>0.87899305000000005</v>
      </c>
      <c r="BS39">
        <v>-0.89100000000000001</v>
      </c>
      <c r="BT39">
        <v>3.4132364000000002E-3</v>
      </c>
      <c r="BU39">
        <v>1.5657657E-3</v>
      </c>
      <c r="BV39">
        <v>4.8339577999999999E-4</v>
      </c>
      <c r="BW39" s="2">
        <v>6.7269000000000005E-8</v>
      </c>
      <c r="BX39">
        <v>0</v>
      </c>
      <c r="BY39">
        <v>0</v>
      </c>
      <c r="BZ39">
        <v>6</v>
      </c>
      <c r="CA39">
        <v>11.52009222</v>
      </c>
      <c r="CB39">
        <v>10.311716219999999</v>
      </c>
      <c r="CC39">
        <v>1.2083759999999999</v>
      </c>
      <c r="CD39">
        <v>14.23457256</v>
      </c>
      <c r="CE39">
        <v>1.44226056</v>
      </c>
      <c r="CF39">
        <v>12.792312000000001</v>
      </c>
      <c r="CG39">
        <v>-9.3654209999998999E-3</v>
      </c>
      <c r="CH39">
        <v>0.685614579</v>
      </c>
      <c r="CI39">
        <v>-0.69498000000000004</v>
      </c>
      <c r="CJ39">
        <v>2.6623243919999999E-3</v>
      </c>
      <c r="CK39">
        <v>1.221297246E-3</v>
      </c>
      <c r="CL39">
        <v>3.7704870840000001E-4</v>
      </c>
      <c r="CM39" s="2">
        <v>5.2469820000000002E-8</v>
      </c>
      <c r="CN39">
        <v>0.73741875609999996</v>
      </c>
      <c r="CO39">
        <v>5.1178605076099997</v>
      </c>
      <c r="CP39">
        <v>5.2190874147153003E-2</v>
      </c>
      <c r="CQ39">
        <v>4.6716421466214998E-2</v>
      </c>
      <c r="CR39">
        <v>5.4744526809386998E-3</v>
      </c>
      <c r="CS39">
        <v>6.4488614399085001E-2</v>
      </c>
      <c r="CT39">
        <v>6.5340483337174996E-3</v>
      </c>
      <c r="CU39">
        <v>5.7954566065368002E-2</v>
      </c>
      <c r="CV39" s="2">
        <v>-4.2429305201005002E-5</v>
      </c>
      <c r="CW39">
        <v>3.10612306939E-3</v>
      </c>
      <c r="CX39">
        <v>-3.1485523745909999E-3</v>
      </c>
      <c r="CY39" s="2">
        <v>1.2061451820719E-5</v>
      </c>
      <c r="CZ39" s="2">
        <v>5.5329913723772997E-6</v>
      </c>
      <c r="DA39" s="2">
        <v>1.7081895970665E-6</v>
      </c>
      <c r="DB39" s="2">
        <v>2.3771040368839998E-10</v>
      </c>
    </row>
    <row r="40" spans="1:106" x14ac:dyDescent="0.25">
      <c r="A40">
        <v>25868</v>
      </c>
      <c r="B40" t="s">
        <v>284</v>
      </c>
      <c r="C40">
        <v>50</v>
      </c>
      <c r="D40" t="s">
        <v>261</v>
      </c>
      <c r="E40">
        <v>2</v>
      </c>
      <c r="F40" t="s">
        <v>167</v>
      </c>
      <c r="G40">
        <v>31799.16</v>
      </c>
      <c r="H40" t="s">
        <v>0</v>
      </c>
      <c r="I40">
        <v>4</v>
      </c>
      <c r="J40">
        <v>31799.16</v>
      </c>
      <c r="L40">
        <v>92117.401014000003</v>
      </c>
      <c r="O40">
        <v>796832</v>
      </c>
      <c r="P40" t="s">
        <v>22</v>
      </c>
      <c r="Q40">
        <v>102</v>
      </c>
      <c r="R40" t="s">
        <v>262</v>
      </c>
      <c r="S40" t="s">
        <v>263</v>
      </c>
      <c r="T40">
        <v>144.06360000000001</v>
      </c>
      <c r="V40">
        <v>2142718764</v>
      </c>
      <c r="W40" t="s">
        <v>26</v>
      </c>
      <c r="Y40">
        <v>8.0000000000000004E-4</v>
      </c>
      <c r="AF40" t="s">
        <v>5</v>
      </c>
      <c r="AG40" t="s">
        <v>6</v>
      </c>
      <c r="AH40" s="1">
        <v>1</v>
      </c>
      <c r="AI40">
        <v>8.0000000000000004E-4</v>
      </c>
      <c r="AJ40">
        <v>220</v>
      </c>
      <c r="AK40">
        <v>0.17599999999999999</v>
      </c>
      <c r="AM40">
        <v>0.17599999999999999</v>
      </c>
      <c r="AN40">
        <v>25.3551936</v>
      </c>
      <c r="AO40">
        <v>7.9735419426173995E-4</v>
      </c>
      <c r="AP40" t="s">
        <v>0</v>
      </c>
      <c r="AQ40" t="s">
        <v>264</v>
      </c>
      <c r="AR40">
        <v>30358</v>
      </c>
      <c r="AS40" t="s">
        <v>265</v>
      </c>
      <c r="AT40">
        <v>7</v>
      </c>
      <c r="AU40">
        <v>1</v>
      </c>
      <c r="AV40" t="s">
        <v>266</v>
      </c>
      <c r="AW40">
        <v>1</v>
      </c>
      <c r="AX40">
        <v>25</v>
      </c>
      <c r="AY40">
        <v>25</v>
      </c>
      <c r="AZ40" t="s">
        <v>286</v>
      </c>
      <c r="BC40">
        <v>3</v>
      </c>
      <c r="BE40">
        <v>3</v>
      </c>
      <c r="BG40">
        <v>0</v>
      </c>
      <c r="BH40">
        <v>100</v>
      </c>
      <c r="BI40">
        <v>0</v>
      </c>
      <c r="BK40">
        <v>85.988403000000005</v>
      </c>
      <c r="BL40">
        <v>43.518402999999999</v>
      </c>
      <c r="BM40">
        <v>42.47</v>
      </c>
      <c r="BN40">
        <v>1.3022769000000001</v>
      </c>
      <c r="BO40">
        <v>1.3022769000000001</v>
      </c>
      <c r="BP40">
        <v>0</v>
      </c>
      <c r="BQ40">
        <v>2.8430924000000002</v>
      </c>
      <c r="BR40">
        <v>2.8640924000000001</v>
      </c>
      <c r="BS40">
        <v>-2.1000000000000001E-2</v>
      </c>
      <c r="BT40">
        <v>8.3217996000000006E-3</v>
      </c>
      <c r="BU40">
        <v>1.6064606999999999E-3</v>
      </c>
      <c r="BV40">
        <v>2.4785428000000001E-3</v>
      </c>
      <c r="BW40" s="2">
        <v>3.9116873999999998E-8</v>
      </c>
      <c r="BX40">
        <v>0</v>
      </c>
      <c r="BY40">
        <v>0</v>
      </c>
      <c r="BZ40">
        <v>6</v>
      </c>
      <c r="CA40">
        <v>30.267917856</v>
      </c>
      <c r="CB40">
        <v>15.318477855999999</v>
      </c>
      <c r="CC40">
        <v>14.949439999999999</v>
      </c>
      <c r="CD40">
        <v>0.45840146879999999</v>
      </c>
      <c r="CE40">
        <v>0.45840146879999999</v>
      </c>
      <c r="CF40">
        <v>0</v>
      </c>
      <c r="CG40">
        <v>1.0044645247999999</v>
      </c>
      <c r="CH40">
        <v>1.0081605248000001</v>
      </c>
      <c r="CI40">
        <v>-3.6960000000000001E-3</v>
      </c>
      <c r="CJ40">
        <v>2.9292734592000001E-3</v>
      </c>
      <c r="CK40">
        <v>5.6547416639999995E-4</v>
      </c>
      <c r="CL40">
        <v>8.7244706559999998E-4</v>
      </c>
      <c r="CM40" s="2">
        <v>1.3769139647999999E-8</v>
      </c>
      <c r="CN40">
        <v>1.5669111438933001</v>
      </c>
      <c r="CO40">
        <v>5.1178605076099997</v>
      </c>
      <c r="CP40">
        <v>0.13712642757984</v>
      </c>
      <c r="CQ40">
        <v>6.9399162319245006E-2</v>
      </c>
      <c r="CR40">
        <v>6.7727265260592001E-2</v>
      </c>
      <c r="CS40">
        <v>2.0767518966102998E-3</v>
      </c>
      <c r="CT40">
        <v>2.0767518966102998E-3</v>
      </c>
      <c r="CU40">
        <v>0</v>
      </c>
      <c r="CV40">
        <v>4.5506477377067998E-3</v>
      </c>
      <c r="CW40">
        <v>4.5673921757863004E-3</v>
      </c>
      <c r="CX40" s="2">
        <v>-1.6744438079496E-5</v>
      </c>
      <c r="CY40" s="2">
        <v>1.3270843629730999E-5</v>
      </c>
      <c r="CZ40" s="2">
        <v>2.5618363541233002E-6</v>
      </c>
      <c r="DA40" s="2">
        <v>3.9525529944744998E-6</v>
      </c>
      <c r="DB40" s="2">
        <v>6.2380007100615994E-11</v>
      </c>
    </row>
    <row r="41" spans="1:106" x14ac:dyDescent="0.25">
      <c r="A41">
        <v>25868</v>
      </c>
      <c r="B41" t="s">
        <v>284</v>
      </c>
      <c r="C41">
        <v>50</v>
      </c>
      <c r="D41" t="s">
        <v>261</v>
      </c>
      <c r="E41">
        <v>2</v>
      </c>
      <c r="F41" t="s">
        <v>167</v>
      </c>
      <c r="G41">
        <v>31799.16</v>
      </c>
      <c r="H41" t="s">
        <v>0</v>
      </c>
      <c r="I41">
        <v>4</v>
      </c>
      <c r="J41">
        <v>31799.16</v>
      </c>
      <c r="L41">
        <v>92117.401014000003</v>
      </c>
      <c r="O41">
        <v>796832</v>
      </c>
      <c r="P41" t="s">
        <v>22</v>
      </c>
      <c r="Q41">
        <v>102</v>
      </c>
      <c r="R41" t="s">
        <v>262</v>
      </c>
      <c r="S41" t="s">
        <v>263</v>
      </c>
      <c r="T41">
        <v>144.06360000000001</v>
      </c>
      <c r="W41" t="s">
        <v>11</v>
      </c>
      <c r="Y41">
        <v>0.04</v>
      </c>
      <c r="AF41" t="s">
        <v>5</v>
      </c>
      <c r="AG41" t="s">
        <v>6</v>
      </c>
      <c r="AH41" s="1">
        <v>1</v>
      </c>
      <c r="AI41">
        <v>0.04</v>
      </c>
      <c r="AJ41">
        <v>475</v>
      </c>
      <c r="AK41">
        <v>19</v>
      </c>
      <c r="AM41">
        <v>19</v>
      </c>
      <c r="AN41">
        <v>2737.2084</v>
      </c>
      <c r="AO41">
        <v>8.6078009607801001E-2</v>
      </c>
      <c r="AP41" t="s">
        <v>0</v>
      </c>
      <c r="AQ41" t="s">
        <v>264</v>
      </c>
      <c r="AR41">
        <v>30358</v>
      </c>
      <c r="AS41" t="s">
        <v>265</v>
      </c>
      <c r="AT41">
        <v>8</v>
      </c>
      <c r="AU41">
        <v>1</v>
      </c>
      <c r="AV41" t="s">
        <v>266</v>
      </c>
      <c r="AW41">
        <v>0</v>
      </c>
      <c r="AX41">
        <v>50</v>
      </c>
      <c r="AY41">
        <v>50</v>
      </c>
      <c r="AZ41" t="s">
        <v>285</v>
      </c>
      <c r="BC41">
        <v>1</v>
      </c>
      <c r="BE41">
        <v>1</v>
      </c>
      <c r="BG41">
        <v>0</v>
      </c>
      <c r="BH41">
        <v>100</v>
      </c>
      <c r="BI41">
        <v>0</v>
      </c>
      <c r="BK41">
        <v>9.2021829000000004</v>
      </c>
      <c r="BL41">
        <v>8.8285628999999997</v>
      </c>
      <c r="BM41">
        <v>0.37362000000000001</v>
      </c>
      <c r="BN41">
        <v>17.684211000000001</v>
      </c>
      <c r="BO41">
        <v>0.63333099999999998</v>
      </c>
      <c r="BP41">
        <v>17.050879999999999</v>
      </c>
      <c r="BQ41">
        <v>-0.32528815</v>
      </c>
      <c r="BR41">
        <v>0.51016185000000003</v>
      </c>
      <c r="BS41">
        <v>-0.83545000000000003</v>
      </c>
      <c r="BT41">
        <v>2.8813898000000001E-3</v>
      </c>
      <c r="BU41">
        <v>1.3804499E-3</v>
      </c>
      <c r="BV41">
        <v>1.0392354E-3</v>
      </c>
      <c r="BW41" s="2">
        <v>4.4076999999999998E-8</v>
      </c>
      <c r="BX41">
        <v>0</v>
      </c>
      <c r="BY41">
        <v>0</v>
      </c>
      <c r="BZ41">
        <v>6</v>
      </c>
      <c r="CA41">
        <v>174.8414751</v>
      </c>
      <c r="CB41">
        <v>167.74269509999999</v>
      </c>
      <c r="CC41">
        <v>7.0987799999999996</v>
      </c>
      <c r="CD41">
        <v>336.00000899999998</v>
      </c>
      <c r="CE41">
        <v>12.033289</v>
      </c>
      <c r="CF41">
        <v>323.96672000000001</v>
      </c>
      <c r="CG41">
        <v>-6.1804748500000004</v>
      </c>
      <c r="CH41">
        <v>9.6930751500000003</v>
      </c>
      <c r="CI41">
        <v>-15.87355</v>
      </c>
      <c r="CJ41">
        <v>5.47464062E-2</v>
      </c>
      <c r="CK41">
        <v>2.6228548099999999E-2</v>
      </c>
      <c r="CL41">
        <v>1.9745472600000001E-2</v>
      </c>
      <c r="CM41" s="2">
        <v>8.3746299999999996E-7</v>
      </c>
      <c r="CN41">
        <v>12.097490855</v>
      </c>
      <c r="CO41">
        <v>5.1178605076099997</v>
      </c>
      <c r="CP41">
        <v>0.79210558807894005</v>
      </c>
      <c r="CQ41">
        <v>0.75994512212928</v>
      </c>
      <c r="CR41">
        <v>3.2160465949666997E-2</v>
      </c>
      <c r="CS41">
        <v>1.5222216843644001</v>
      </c>
      <c r="CT41">
        <v>5.4515871902917998E-2</v>
      </c>
      <c r="CU41">
        <v>1.4677058124614999</v>
      </c>
      <c r="CV41">
        <v>-2.8000156501004E-2</v>
      </c>
      <c r="CW41">
        <v>4.3913716625834001E-2</v>
      </c>
      <c r="CX41">
        <v>-7.1913873126837002E-2</v>
      </c>
      <c r="CY41">
        <v>2.4802429888822001E-4</v>
      </c>
      <c r="CZ41">
        <v>1.1882637975529E-4</v>
      </c>
      <c r="DA41" s="2">
        <v>8.9455314745967004E-5</v>
      </c>
      <c r="DB41" s="2">
        <v>3.7940604294830002E-9</v>
      </c>
    </row>
    <row r="42" spans="1:106" x14ac:dyDescent="0.25">
      <c r="A42">
        <v>25868</v>
      </c>
      <c r="B42" t="s">
        <v>284</v>
      </c>
      <c r="C42">
        <v>50</v>
      </c>
      <c r="D42" t="s">
        <v>261</v>
      </c>
      <c r="E42">
        <v>2</v>
      </c>
      <c r="F42" t="s">
        <v>167</v>
      </c>
      <c r="G42">
        <v>31799.16</v>
      </c>
      <c r="H42" t="s">
        <v>0</v>
      </c>
      <c r="I42">
        <v>4</v>
      </c>
      <c r="J42">
        <v>31799.16</v>
      </c>
      <c r="L42">
        <v>92117.401014000003</v>
      </c>
      <c r="O42">
        <v>796832</v>
      </c>
      <c r="P42" t="s">
        <v>22</v>
      </c>
      <c r="Q42">
        <v>102</v>
      </c>
      <c r="R42" t="s">
        <v>262</v>
      </c>
      <c r="S42" t="s">
        <v>263</v>
      </c>
      <c r="T42">
        <v>144.06360000000001</v>
      </c>
      <c r="V42">
        <v>2142717929</v>
      </c>
      <c r="W42" t="s">
        <v>21</v>
      </c>
      <c r="Y42">
        <v>8.9999999999999993E-3</v>
      </c>
      <c r="AF42" t="s">
        <v>5</v>
      </c>
      <c r="AG42" t="s">
        <v>6</v>
      </c>
      <c r="AH42" s="1">
        <v>1</v>
      </c>
      <c r="AI42">
        <v>8.9999999999999993E-3</v>
      </c>
      <c r="AJ42">
        <v>38</v>
      </c>
      <c r="AK42">
        <v>0.34200000000000003</v>
      </c>
      <c r="AM42">
        <v>0.34200000000000003</v>
      </c>
      <c r="AN42">
        <v>49.269751200000002</v>
      </c>
      <c r="AO42">
        <v>1.5494041729404E-3</v>
      </c>
      <c r="AP42" t="s">
        <v>0</v>
      </c>
      <c r="AQ42" t="s">
        <v>264</v>
      </c>
      <c r="AR42">
        <v>30358</v>
      </c>
      <c r="AS42" t="s">
        <v>265</v>
      </c>
      <c r="AT42">
        <v>9</v>
      </c>
      <c r="AU42">
        <v>1</v>
      </c>
      <c r="AV42" t="s">
        <v>266</v>
      </c>
      <c r="AW42">
        <v>0</v>
      </c>
      <c r="AX42">
        <v>50</v>
      </c>
      <c r="AY42">
        <v>50</v>
      </c>
      <c r="AZ42" t="s">
        <v>285</v>
      </c>
      <c r="BC42">
        <v>5</v>
      </c>
      <c r="BE42">
        <v>4</v>
      </c>
      <c r="BG42">
        <v>0</v>
      </c>
      <c r="BH42">
        <v>100</v>
      </c>
      <c r="BI42">
        <v>0</v>
      </c>
      <c r="BK42">
        <v>131.42972</v>
      </c>
      <c r="BL42">
        <v>109.82971999999999</v>
      </c>
      <c r="BM42">
        <v>21.6</v>
      </c>
      <c r="BN42">
        <v>2.2548433000000001</v>
      </c>
      <c r="BO42">
        <v>2.2548433000000001</v>
      </c>
      <c r="BP42">
        <v>0</v>
      </c>
      <c r="BQ42">
        <v>5.0115335999999999</v>
      </c>
      <c r="BR42">
        <v>5.0115335999999999</v>
      </c>
      <c r="BS42">
        <v>0</v>
      </c>
      <c r="BT42">
        <v>1.7419766E-2</v>
      </c>
      <c r="BU42">
        <v>6.9117468000000001E-3</v>
      </c>
      <c r="BV42">
        <v>1.1384409999999999E-2</v>
      </c>
      <c r="BW42" s="2">
        <v>2.1427749999999999E-7</v>
      </c>
      <c r="BX42">
        <v>0</v>
      </c>
      <c r="BY42">
        <v>0</v>
      </c>
      <c r="BZ42">
        <v>6</v>
      </c>
      <c r="CA42">
        <v>44.948964240000002</v>
      </c>
      <c r="CB42">
        <v>37.561764240000002</v>
      </c>
      <c r="CC42">
        <v>7.3872</v>
      </c>
      <c r="CD42">
        <v>0.77115640860000001</v>
      </c>
      <c r="CE42">
        <v>0.77115640860000001</v>
      </c>
      <c r="CF42">
        <v>0</v>
      </c>
      <c r="CG42">
        <v>1.7139444911999999</v>
      </c>
      <c r="CH42">
        <v>1.7139444911999999</v>
      </c>
      <c r="CI42">
        <v>0</v>
      </c>
      <c r="CJ42">
        <v>5.9575599719999999E-3</v>
      </c>
      <c r="CK42">
        <v>2.3638174056E-3</v>
      </c>
      <c r="CL42">
        <v>3.8934682200000002E-3</v>
      </c>
      <c r="CM42" s="2">
        <v>7.3282904999999995E-8</v>
      </c>
      <c r="CN42">
        <v>2.5782975528000001</v>
      </c>
      <c r="CO42">
        <v>5.1178605076099997</v>
      </c>
      <c r="CP42">
        <v>0.20363775661639</v>
      </c>
      <c r="CQ42">
        <v>0.17017062648087999</v>
      </c>
      <c r="CR42">
        <v>3.3467130135513001E-2</v>
      </c>
      <c r="CS42">
        <v>3.4936636183466999E-3</v>
      </c>
      <c r="CT42">
        <v>3.4936636183466999E-3</v>
      </c>
      <c r="CU42">
        <v>0</v>
      </c>
      <c r="CV42">
        <v>7.7648910726711004E-3</v>
      </c>
      <c r="CW42">
        <v>7.7648910726711004E-3</v>
      </c>
      <c r="CX42">
        <v>0</v>
      </c>
      <c r="CY42" s="2">
        <v>2.6990258132045999E-5</v>
      </c>
      <c r="CZ42" s="2">
        <v>1.0709089334228E-5</v>
      </c>
      <c r="DA42" s="2">
        <v>1.7639052360464998E-5</v>
      </c>
      <c r="DB42" s="2">
        <v>3.3200245266724E-10</v>
      </c>
    </row>
    <row r="43" spans="1:106" x14ac:dyDescent="0.25">
      <c r="A43">
        <v>25868</v>
      </c>
      <c r="B43" t="s">
        <v>284</v>
      </c>
      <c r="C43">
        <v>50</v>
      </c>
      <c r="D43" t="s">
        <v>261</v>
      </c>
      <c r="E43">
        <v>2</v>
      </c>
      <c r="F43" t="s">
        <v>167</v>
      </c>
      <c r="G43">
        <v>31799.16</v>
      </c>
      <c r="H43" t="s">
        <v>0</v>
      </c>
      <c r="I43">
        <v>4</v>
      </c>
      <c r="J43">
        <v>31799.16</v>
      </c>
      <c r="L43">
        <v>92117.401014000003</v>
      </c>
      <c r="O43">
        <v>796824</v>
      </c>
      <c r="P43" t="s">
        <v>27</v>
      </c>
      <c r="Q43">
        <v>114</v>
      </c>
      <c r="R43" t="s">
        <v>262</v>
      </c>
      <c r="S43" t="s">
        <v>263</v>
      </c>
      <c r="T43">
        <v>5300</v>
      </c>
      <c r="W43" t="s">
        <v>28</v>
      </c>
      <c r="Y43">
        <v>0.04</v>
      </c>
      <c r="AF43" t="s">
        <v>29</v>
      </c>
      <c r="AG43" t="s">
        <v>30</v>
      </c>
      <c r="AH43" s="1">
        <v>1</v>
      </c>
      <c r="AI43">
        <v>0.04</v>
      </c>
      <c r="AJ43">
        <v>2400</v>
      </c>
      <c r="AK43">
        <v>96</v>
      </c>
      <c r="AM43">
        <v>96</v>
      </c>
      <c r="AN43">
        <v>508800</v>
      </c>
      <c r="AO43">
        <v>16.000422652674001</v>
      </c>
      <c r="AP43" t="s">
        <v>0</v>
      </c>
      <c r="AQ43" t="s">
        <v>264</v>
      </c>
      <c r="AR43">
        <v>30358</v>
      </c>
      <c r="AS43" t="s">
        <v>265</v>
      </c>
      <c r="AT43">
        <v>1</v>
      </c>
      <c r="AU43">
        <v>1</v>
      </c>
      <c r="AV43" t="s">
        <v>266</v>
      </c>
      <c r="AW43">
        <v>0</v>
      </c>
      <c r="AX43">
        <v>50</v>
      </c>
      <c r="AY43">
        <v>50</v>
      </c>
      <c r="AZ43" t="s">
        <v>288</v>
      </c>
      <c r="BG43">
        <v>0</v>
      </c>
      <c r="BH43">
        <v>0</v>
      </c>
      <c r="BI43">
        <v>0</v>
      </c>
      <c r="BK43">
        <v>0.70247170999999997</v>
      </c>
      <c r="BL43">
        <v>0.70247170999999997</v>
      </c>
      <c r="BM43">
        <v>0</v>
      </c>
      <c r="BN43">
        <v>3.7404760000000002E-2</v>
      </c>
      <c r="BO43">
        <v>3.7404760000000002E-2</v>
      </c>
      <c r="BP43">
        <v>0</v>
      </c>
      <c r="BQ43">
        <v>9.2611880999999993E-2</v>
      </c>
      <c r="BR43">
        <v>9.2611880999999993E-2</v>
      </c>
      <c r="BS43">
        <v>0</v>
      </c>
      <c r="BT43">
        <v>1.6944177999999999E-4</v>
      </c>
      <c r="BU43">
        <v>1.1144267E-4</v>
      </c>
      <c r="BV43" s="2">
        <v>2.6770112999999999E-5</v>
      </c>
      <c r="BW43" s="2">
        <v>2.1878503000000001E-9</v>
      </c>
      <c r="BX43">
        <v>0</v>
      </c>
      <c r="BY43">
        <v>0</v>
      </c>
      <c r="BZ43">
        <v>6</v>
      </c>
      <c r="CA43">
        <v>67.437284160000004</v>
      </c>
      <c r="CB43">
        <v>67.437284160000004</v>
      </c>
      <c r="CC43">
        <v>0</v>
      </c>
      <c r="CD43">
        <v>3.59085696</v>
      </c>
      <c r="CE43">
        <v>3.59085696</v>
      </c>
      <c r="CF43">
        <v>0</v>
      </c>
      <c r="CG43">
        <v>8.8907405760000007</v>
      </c>
      <c r="CH43">
        <v>8.8907405760000007</v>
      </c>
      <c r="CI43">
        <v>0</v>
      </c>
      <c r="CJ43">
        <v>1.6266410879999998E-2</v>
      </c>
      <c r="CK43">
        <v>1.0698496320000001E-2</v>
      </c>
      <c r="CL43">
        <v>2.5699308479999999E-3</v>
      </c>
      <c r="CM43" s="2">
        <v>2.100336288E-7</v>
      </c>
      <c r="CN43">
        <v>5.8985543519999997</v>
      </c>
      <c r="CO43">
        <v>139.37849225132999</v>
      </c>
      <c r="CP43">
        <v>11.239844261547001</v>
      </c>
      <c r="CQ43">
        <v>11.239844261547001</v>
      </c>
      <c r="CR43">
        <v>0</v>
      </c>
      <c r="CS43">
        <v>0.59849196922183001</v>
      </c>
      <c r="CT43">
        <v>0.59849196922183001</v>
      </c>
      <c r="CU43">
        <v>0</v>
      </c>
      <c r="CV43">
        <v>1.4818292386591001</v>
      </c>
      <c r="CW43">
        <v>1.4818292386591001</v>
      </c>
      <c r="CX43">
        <v>0</v>
      </c>
      <c r="CY43">
        <v>2.7111400950213999E-3</v>
      </c>
      <c r="CZ43">
        <v>1.7831298215425001E-3</v>
      </c>
      <c r="DA43">
        <v>4.2833312245983999E-4</v>
      </c>
      <c r="DB43" s="2">
        <v>3.5006529500779003E-8</v>
      </c>
    </row>
    <row r="44" spans="1:106" x14ac:dyDescent="0.25">
      <c r="A44">
        <v>25868</v>
      </c>
      <c r="B44" t="s">
        <v>284</v>
      </c>
      <c r="C44">
        <v>50</v>
      </c>
      <c r="D44" t="s">
        <v>261</v>
      </c>
      <c r="E44">
        <v>2</v>
      </c>
      <c r="F44" t="s">
        <v>167</v>
      </c>
      <c r="G44">
        <v>31799.16</v>
      </c>
      <c r="H44" t="s">
        <v>0</v>
      </c>
      <c r="I44">
        <v>4</v>
      </c>
      <c r="J44">
        <v>31799.16</v>
      </c>
      <c r="L44">
        <v>92117.401014000003</v>
      </c>
      <c r="O44">
        <v>796824</v>
      </c>
      <c r="P44" t="s">
        <v>27</v>
      </c>
      <c r="Q44">
        <v>114</v>
      </c>
      <c r="R44" t="s">
        <v>262</v>
      </c>
      <c r="S44" t="s">
        <v>263</v>
      </c>
      <c r="T44">
        <v>5300</v>
      </c>
      <c r="W44" t="s">
        <v>31</v>
      </c>
      <c r="Y44">
        <v>0.05</v>
      </c>
      <c r="AF44" t="s">
        <v>29</v>
      </c>
      <c r="AG44" t="s">
        <v>30</v>
      </c>
      <c r="AH44" s="1">
        <v>1</v>
      </c>
      <c r="AI44">
        <v>0.05</v>
      </c>
      <c r="AJ44">
        <v>1800</v>
      </c>
      <c r="AK44">
        <v>90</v>
      </c>
      <c r="AM44">
        <v>90</v>
      </c>
      <c r="AN44">
        <v>477000</v>
      </c>
      <c r="AO44">
        <v>15.000396236882001</v>
      </c>
      <c r="AP44" t="s">
        <v>0</v>
      </c>
      <c r="AQ44" t="s">
        <v>264</v>
      </c>
      <c r="AR44">
        <v>30358</v>
      </c>
      <c r="AS44" t="s">
        <v>265</v>
      </c>
      <c r="AT44">
        <v>2</v>
      </c>
      <c r="AU44">
        <v>1</v>
      </c>
      <c r="AV44" t="s">
        <v>266</v>
      </c>
      <c r="AW44">
        <v>0</v>
      </c>
      <c r="AX44">
        <v>50</v>
      </c>
      <c r="AY44">
        <v>50</v>
      </c>
      <c r="AZ44" t="s">
        <v>285</v>
      </c>
      <c r="BC44">
        <v>2</v>
      </c>
      <c r="BE44">
        <v>1</v>
      </c>
      <c r="BG44">
        <v>100</v>
      </c>
      <c r="BH44">
        <v>0</v>
      </c>
      <c r="BI44">
        <v>0</v>
      </c>
      <c r="BK44">
        <v>0.10370840000000001</v>
      </c>
      <c r="BL44">
        <v>0.10370840000000001</v>
      </c>
      <c r="BM44">
        <v>0</v>
      </c>
      <c r="BN44">
        <v>2.6199716999999998E-3</v>
      </c>
      <c r="BO44">
        <v>2.6199716999999998E-3</v>
      </c>
      <c r="BP44">
        <v>0</v>
      </c>
      <c r="BQ44">
        <v>7.0793302999999997E-3</v>
      </c>
      <c r="BR44">
        <v>7.0793302999999997E-3</v>
      </c>
      <c r="BS44">
        <v>0</v>
      </c>
      <c r="BT44" s="2">
        <v>4.8332080000000003E-5</v>
      </c>
      <c r="BU44" s="2">
        <v>1.4589555E-5</v>
      </c>
      <c r="BV44" s="2">
        <v>5.2414253000000002E-6</v>
      </c>
      <c r="BW44" s="2">
        <v>7.5267095999999998E-10</v>
      </c>
      <c r="BX44">
        <v>1</v>
      </c>
      <c r="BY44">
        <v>0</v>
      </c>
      <c r="BZ44">
        <v>6</v>
      </c>
      <c r="CA44">
        <v>9.3337559999999993</v>
      </c>
      <c r="CB44">
        <v>9.3337559999999993</v>
      </c>
      <c r="CC44">
        <v>0</v>
      </c>
      <c r="CD44">
        <v>0.23579745299999999</v>
      </c>
      <c r="CE44">
        <v>0.23579745299999999</v>
      </c>
      <c r="CF44">
        <v>0</v>
      </c>
      <c r="CG44">
        <v>0.63713972699999999</v>
      </c>
      <c r="CH44">
        <v>0.63713972699999999</v>
      </c>
      <c r="CI44">
        <v>0</v>
      </c>
      <c r="CJ44">
        <v>4.3498872000000003E-3</v>
      </c>
      <c r="CK44">
        <v>1.31305995E-3</v>
      </c>
      <c r="CL44">
        <v>4.7172827700000001E-4</v>
      </c>
      <c r="CM44" s="2">
        <v>6.7740386400000001E-8</v>
      </c>
      <c r="CN44">
        <v>0.9973001145</v>
      </c>
      <c r="CO44">
        <v>139.37849225132999</v>
      </c>
      <c r="CP44">
        <v>1.5556670930930001</v>
      </c>
      <c r="CQ44">
        <v>1.5556670930930001</v>
      </c>
      <c r="CR44">
        <v>0</v>
      </c>
      <c r="CS44">
        <v>3.9300613629417003E-2</v>
      </c>
      <c r="CT44">
        <v>3.9300613629417003E-2</v>
      </c>
      <c r="CU44">
        <v>0</v>
      </c>
      <c r="CV44">
        <v>0.10619275959176</v>
      </c>
      <c r="CW44">
        <v>0.10619275959176</v>
      </c>
      <c r="CX44">
        <v>0</v>
      </c>
      <c r="CY44">
        <v>7.2500035095266998E-4</v>
      </c>
      <c r="CZ44">
        <v>2.1884910591977999E-4</v>
      </c>
      <c r="DA44" s="2">
        <v>7.8623456346017001E-5</v>
      </c>
      <c r="DB44" s="2">
        <v>1.1290362635994E-8</v>
      </c>
    </row>
    <row r="45" spans="1:106" x14ac:dyDescent="0.25">
      <c r="A45">
        <v>25868</v>
      </c>
      <c r="B45" t="s">
        <v>284</v>
      </c>
      <c r="C45">
        <v>50</v>
      </c>
      <c r="D45" t="s">
        <v>261</v>
      </c>
      <c r="E45">
        <v>2</v>
      </c>
      <c r="F45" t="s">
        <v>167</v>
      </c>
      <c r="G45">
        <v>31799.16</v>
      </c>
      <c r="H45" t="s">
        <v>0</v>
      </c>
      <c r="I45">
        <v>4</v>
      </c>
      <c r="J45">
        <v>31799.16</v>
      </c>
      <c r="L45">
        <v>92117.401014000003</v>
      </c>
      <c r="O45">
        <v>796824</v>
      </c>
      <c r="P45" t="s">
        <v>27</v>
      </c>
      <c r="Q45">
        <v>114</v>
      </c>
      <c r="R45" t="s">
        <v>262</v>
      </c>
      <c r="S45" t="s">
        <v>263</v>
      </c>
      <c r="T45">
        <v>5300</v>
      </c>
      <c r="W45" t="s">
        <v>32</v>
      </c>
      <c r="Y45">
        <v>5.0000000000000001E-3</v>
      </c>
      <c r="AF45" t="s">
        <v>29</v>
      </c>
      <c r="AG45" t="s">
        <v>30</v>
      </c>
      <c r="AH45" s="1">
        <v>1</v>
      </c>
      <c r="AI45">
        <v>5.0000000000000001E-3</v>
      </c>
      <c r="AJ45">
        <v>300</v>
      </c>
      <c r="AK45">
        <v>1.5</v>
      </c>
      <c r="AM45">
        <v>1.5</v>
      </c>
      <c r="AN45">
        <v>7950</v>
      </c>
      <c r="AO45">
        <v>0.25000660394802998</v>
      </c>
      <c r="AP45" t="s">
        <v>0</v>
      </c>
      <c r="AQ45" t="s">
        <v>264</v>
      </c>
      <c r="AR45">
        <v>30358</v>
      </c>
      <c r="AS45" t="s">
        <v>265</v>
      </c>
      <c r="AT45">
        <v>3</v>
      </c>
      <c r="AU45">
        <v>1</v>
      </c>
      <c r="AV45" t="s">
        <v>266</v>
      </c>
      <c r="AW45">
        <v>1</v>
      </c>
      <c r="AX45">
        <v>25</v>
      </c>
      <c r="AY45">
        <v>25</v>
      </c>
      <c r="AZ45" t="s">
        <v>286</v>
      </c>
      <c r="BC45">
        <v>3</v>
      </c>
      <c r="BE45">
        <v>3</v>
      </c>
      <c r="BG45">
        <v>0</v>
      </c>
      <c r="BH45">
        <v>100</v>
      </c>
      <c r="BI45">
        <v>0</v>
      </c>
      <c r="BK45">
        <v>85.988403000000005</v>
      </c>
      <c r="BL45">
        <v>43.518402999999999</v>
      </c>
      <c r="BM45">
        <v>42.47</v>
      </c>
      <c r="BN45">
        <v>1.3022769000000001</v>
      </c>
      <c r="BO45">
        <v>1.3022769000000001</v>
      </c>
      <c r="BP45">
        <v>0</v>
      </c>
      <c r="BQ45">
        <v>2.8430924000000002</v>
      </c>
      <c r="BR45">
        <v>2.8640924000000001</v>
      </c>
      <c r="BS45">
        <v>-2.1000000000000001E-2</v>
      </c>
      <c r="BT45">
        <v>8.3217996000000006E-3</v>
      </c>
      <c r="BU45">
        <v>1.6064606999999999E-3</v>
      </c>
      <c r="BV45">
        <v>2.4785428000000001E-3</v>
      </c>
      <c r="BW45" s="2">
        <v>3.9116873999999998E-8</v>
      </c>
      <c r="BX45">
        <v>0</v>
      </c>
      <c r="BY45">
        <v>0</v>
      </c>
      <c r="BZ45">
        <v>6</v>
      </c>
      <c r="CA45">
        <v>257.96520900000002</v>
      </c>
      <c r="CB45">
        <v>130.55520899999999</v>
      </c>
      <c r="CC45">
        <v>127.41</v>
      </c>
      <c r="CD45">
        <v>3.9068307</v>
      </c>
      <c r="CE45">
        <v>3.9068307</v>
      </c>
      <c r="CF45">
        <v>0</v>
      </c>
      <c r="CG45">
        <v>8.5607772000000004</v>
      </c>
      <c r="CH45">
        <v>8.5922771999999998</v>
      </c>
      <c r="CI45">
        <v>-3.15E-2</v>
      </c>
      <c r="CJ45">
        <v>2.49653988E-2</v>
      </c>
      <c r="CK45">
        <v>4.8193821000000001E-3</v>
      </c>
      <c r="CL45">
        <v>7.4356283999999998E-3</v>
      </c>
      <c r="CM45" s="2">
        <v>1.17350622E-7</v>
      </c>
      <c r="CN45">
        <v>13.354356340000001</v>
      </c>
      <c r="CO45">
        <v>139.37849225132999</v>
      </c>
      <c r="CP45">
        <v>42.995337225889003</v>
      </c>
      <c r="CQ45">
        <v>21.759776286543001</v>
      </c>
      <c r="CR45">
        <v>21.235560939346001</v>
      </c>
      <c r="CS45">
        <v>0.65115565033792999</v>
      </c>
      <c r="CT45">
        <v>0.65115565033792999</v>
      </c>
      <c r="CU45">
        <v>0</v>
      </c>
      <c r="CV45">
        <v>1.4268338899518</v>
      </c>
      <c r="CW45">
        <v>1.4320840286347001</v>
      </c>
      <c r="CX45">
        <v>-5.2501386829086E-3</v>
      </c>
      <c r="CY45">
        <v>4.1610097134640997E-3</v>
      </c>
      <c r="CZ45">
        <v>8.0325156796595004E-4</v>
      </c>
      <c r="DA45">
        <v>1.2393041363357E-3</v>
      </c>
      <c r="DB45" s="2">
        <v>1.9558953651606E-8</v>
      </c>
    </row>
    <row r="46" spans="1:106" x14ac:dyDescent="0.25">
      <c r="A46">
        <v>25868</v>
      </c>
      <c r="B46" t="s">
        <v>284</v>
      </c>
      <c r="C46">
        <v>50</v>
      </c>
      <c r="D46" t="s">
        <v>261</v>
      </c>
      <c r="E46">
        <v>2</v>
      </c>
      <c r="F46" t="s">
        <v>167</v>
      </c>
      <c r="G46">
        <v>31799.16</v>
      </c>
      <c r="H46" t="s">
        <v>0</v>
      </c>
      <c r="I46">
        <v>4</v>
      </c>
      <c r="J46">
        <v>31799.16</v>
      </c>
      <c r="L46">
        <v>92117.401014000003</v>
      </c>
      <c r="O46">
        <v>796824</v>
      </c>
      <c r="P46" t="s">
        <v>27</v>
      </c>
      <c r="Q46">
        <v>114</v>
      </c>
      <c r="R46" t="s">
        <v>262</v>
      </c>
      <c r="S46" t="s">
        <v>263</v>
      </c>
      <c r="T46">
        <v>5300</v>
      </c>
      <c r="W46" t="s">
        <v>33</v>
      </c>
      <c r="Y46">
        <v>0.01</v>
      </c>
      <c r="AF46" t="s">
        <v>29</v>
      </c>
      <c r="AG46" t="s">
        <v>30</v>
      </c>
      <c r="AH46" s="1">
        <v>1</v>
      </c>
      <c r="AI46">
        <v>0.01</v>
      </c>
      <c r="AJ46">
        <v>1100</v>
      </c>
      <c r="AK46">
        <v>11</v>
      </c>
      <c r="AM46">
        <v>11</v>
      </c>
      <c r="AN46">
        <v>58300</v>
      </c>
      <c r="AO46">
        <v>1.8333817622855</v>
      </c>
      <c r="AP46" t="s">
        <v>0</v>
      </c>
      <c r="AQ46" t="s">
        <v>264</v>
      </c>
      <c r="AR46">
        <v>30358</v>
      </c>
      <c r="AS46" t="s">
        <v>265</v>
      </c>
      <c r="AT46">
        <v>4</v>
      </c>
      <c r="AU46">
        <v>1</v>
      </c>
      <c r="AV46" t="s">
        <v>266</v>
      </c>
      <c r="AW46">
        <v>1</v>
      </c>
      <c r="AX46">
        <v>25</v>
      </c>
      <c r="AY46">
        <v>25</v>
      </c>
      <c r="AZ46" t="s">
        <v>286</v>
      </c>
      <c r="BC46">
        <v>3</v>
      </c>
      <c r="BE46">
        <v>5</v>
      </c>
      <c r="BG46">
        <v>0</v>
      </c>
      <c r="BH46">
        <v>100</v>
      </c>
      <c r="BI46">
        <v>0</v>
      </c>
      <c r="BK46">
        <v>41.596041</v>
      </c>
      <c r="BL46">
        <v>17.239440999999999</v>
      </c>
      <c r="BM46">
        <v>24.3566</v>
      </c>
      <c r="BN46">
        <v>0.66435392999999998</v>
      </c>
      <c r="BO46">
        <v>0.66435392999999998</v>
      </c>
      <c r="BP46">
        <v>0</v>
      </c>
      <c r="BQ46">
        <v>0.82198998999999995</v>
      </c>
      <c r="BR46">
        <v>0.82398998999999995</v>
      </c>
      <c r="BS46">
        <v>-2E-3</v>
      </c>
      <c r="BT46">
        <v>5.5642143999999998E-3</v>
      </c>
      <c r="BU46">
        <v>1.8152159999999999E-3</v>
      </c>
      <c r="BV46">
        <v>1.1380679000000001E-3</v>
      </c>
      <c r="BW46" s="2">
        <v>3.1630835E-7</v>
      </c>
      <c r="BX46">
        <v>1</v>
      </c>
      <c r="BY46">
        <v>0</v>
      </c>
      <c r="BZ46">
        <v>6</v>
      </c>
      <c r="CA46">
        <v>915.11290199999996</v>
      </c>
      <c r="CB46">
        <v>379.26770199999999</v>
      </c>
      <c r="CC46">
        <v>535.84519999999998</v>
      </c>
      <c r="CD46">
        <v>14.615786460000001</v>
      </c>
      <c r="CE46">
        <v>14.615786460000001</v>
      </c>
      <c r="CF46">
        <v>0</v>
      </c>
      <c r="CG46">
        <v>18.105779779999999</v>
      </c>
      <c r="CH46">
        <v>18.127779780000001</v>
      </c>
      <c r="CI46">
        <v>-2.1999999999999999E-2</v>
      </c>
      <c r="CJ46">
        <v>0.1224127168</v>
      </c>
      <c r="CK46">
        <v>3.9934751999999997E-2</v>
      </c>
      <c r="CL46">
        <v>2.5037493800000001E-2</v>
      </c>
      <c r="CM46" s="2">
        <v>6.9587836999999999E-6</v>
      </c>
      <c r="CN46">
        <v>49.843088936667002</v>
      </c>
      <c r="CO46">
        <v>139.37849225132999</v>
      </c>
      <c r="CP46">
        <v>152.52284590535999</v>
      </c>
      <c r="CQ46">
        <v>63.212953442794998</v>
      </c>
      <c r="CR46">
        <v>89.309892462568001</v>
      </c>
      <c r="CS46">
        <v>2.4360287579294999</v>
      </c>
      <c r="CT46">
        <v>2.4360287579294999</v>
      </c>
      <c r="CU46">
        <v>0</v>
      </c>
      <c r="CV46">
        <v>3.0177096764190998</v>
      </c>
      <c r="CW46">
        <v>3.0213764399437002</v>
      </c>
      <c r="CX46">
        <v>-3.6667635245711001E-3</v>
      </c>
      <c r="CY46">
        <v>2.0402658404813E-2</v>
      </c>
      <c r="CZ46">
        <v>6.6559678180177998E-3</v>
      </c>
      <c r="DA46">
        <v>4.1730258642051999E-3</v>
      </c>
      <c r="DB46" s="2">
        <v>1.1598279202973E-6</v>
      </c>
    </row>
    <row r="47" spans="1:106" x14ac:dyDescent="0.25">
      <c r="A47">
        <v>25868</v>
      </c>
      <c r="B47" t="s">
        <v>284</v>
      </c>
      <c r="C47">
        <v>50</v>
      </c>
      <c r="D47" t="s">
        <v>261</v>
      </c>
      <c r="E47">
        <v>2</v>
      </c>
      <c r="F47" t="s">
        <v>167</v>
      </c>
      <c r="G47">
        <v>31799.16</v>
      </c>
      <c r="H47" t="s">
        <v>0</v>
      </c>
      <c r="I47">
        <v>4</v>
      </c>
      <c r="J47">
        <v>31799.16</v>
      </c>
      <c r="L47">
        <v>92117.401014000003</v>
      </c>
      <c r="O47">
        <v>796824</v>
      </c>
      <c r="P47" t="s">
        <v>27</v>
      </c>
      <c r="Q47">
        <v>114</v>
      </c>
      <c r="R47" t="s">
        <v>262</v>
      </c>
      <c r="S47" t="s">
        <v>263</v>
      </c>
      <c r="T47">
        <v>5300</v>
      </c>
      <c r="V47">
        <v>2142717437</v>
      </c>
      <c r="W47" t="s">
        <v>34</v>
      </c>
      <c r="Y47">
        <v>0.26</v>
      </c>
      <c r="AF47" t="s">
        <v>29</v>
      </c>
      <c r="AG47" t="s">
        <v>30</v>
      </c>
      <c r="AH47" s="1">
        <v>1</v>
      </c>
      <c r="AI47">
        <v>0.26</v>
      </c>
      <c r="AJ47">
        <v>23</v>
      </c>
      <c r="AK47">
        <v>5.98</v>
      </c>
      <c r="AM47">
        <v>5.98</v>
      </c>
      <c r="AN47">
        <v>31694</v>
      </c>
      <c r="AO47">
        <v>0.99669299440614001</v>
      </c>
      <c r="AP47" t="s">
        <v>0</v>
      </c>
      <c r="AQ47" t="s">
        <v>264</v>
      </c>
      <c r="AR47">
        <v>30358</v>
      </c>
      <c r="AS47" t="s">
        <v>265</v>
      </c>
      <c r="AT47">
        <v>5</v>
      </c>
      <c r="AU47">
        <v>1</v>
      </c>
      <c r="AV47" t="s">
        <v>266</v>
      </c>
      <c r="AW47">
        <v>0</v>
      </c>
      <c r="AX47">
        <v>50</v>
      </c>
      <c r="AY47">
        <v>50</v>
      </c>
      <c r="AZ47" t="s">
        <v>285</v>
      </c>
      <c r="BC47">
        <v>4</v>
      </c>
      <c r="BE47">
        <v>3</v>
      </c>
      <c r="BG47">
        <v>0</v>
      </c>
      <c r="BH47">
        <v>100</v>
      </c>
      <c r="BI47">
        <v>0</v>
      </c>
      <c r="BK47">
        <v>98.895520000000005</v>
      </c>
      <c r="BL47">
        <v>58.895519999999998</v>
      </c>
      <c r="BM47">
        <v>40</v>
      </c>
      <c r="BN47">
        <v>0.95935762000000002</v>
      </c>
      <c r="BO47">
        <v>0.95935762000000002</v>
      </c>
      <c r="BP47">
        <v>0</v>
      </c>
      <c r="BQ47">
        <v>4.2053807000000001</v>
      </c>
      <c r="BR47">
        <v>4.2053807000000001</v>
      </c>
      <c r="BS47">
        <v>0</v>
      </c>
      <c r="BT47">
        <v>1.4900439E-2</v>
      </c>
      <c r="BU47">
        <v>2.6115595E-3</v>
      </c>
      <c r="BV47">
        <v>9.1377113000000003E-3</v>
      </c>
      <c r="BW47" s="2">
        <v>1.3195599999999999E-7</v>
      </c>
      <c r="BX47">
        <v>0</v>
      </c>
      <c r="BY47">
        <v>0</v>
      </c>
      <c r="BZ47">
        <v>6</v>
      </c>
      <c r="CA47">
        <v>591.39520960000004</v>
      </c>
      <c r="CB47">
        <v>352.1952096</v>
      </c>
      <c r="CC47">
        <v>239.2</v>
      </c>
      <c r="CD47">
        <v>5.7369585676000003</v>
      </c>
      <c r="CE47">
        <v>5.7369585676000003</v>
      </c>
      <c r="CF47">
        <v>0</v>
      </c>
      <c r="CG47">
        <v>25.148176586000002</v>
      </c>
      <c r="CH47">
        <v>25.148176586000002</v>
      </c>
      <c r="CI47">
        <v>0</v>
      </c>
      <c r="CJ47">
        <v>8.9104625219999997E-2</v>
      </c>
      <c r="CK47">
        <v>1.561712581E-2</v>
      </c>
      <c r="CL47">
        <v>5.4643513573999998E-2</v>
      </c>
      <c r="CM47" s="2">
        <v>7.8909688E-7</v>
      </c>
      <c r="CN47">
        <v>35.785153113667</v>
      </c>
      <c r="CO47">
        <v>139.37849225132999</v>
      </c>
      <c r="CP47">
        <v>98.568471962152003</v>
      </c>
      <c r="CQ47">
        <v>58.700752185907</v>
      </c>
      <c r="CR47">
        <v>39.867719776245998</v>
      </c>
      <c r="CS47">
        <v>0.95618501898414998</v>
      </c>
      <c r="CT47">
        <v>0.95618501898414998</v>
      </c>
      <c r="CU47">
        <v>0</v>
      </c>
      <c r="CV47">
        <v>4.1914734825008004</v>
      </c>
      <c r="CW47">
        <v>4.1914734825008004</v>
      </c>
      <c r="CX47">
        <v>0</v>
      </c>
      <c r="CY47">
        <v>1.4851163164876001E-2</v>
      </c>
      <c r="CZ47">
        <v>2.6029230581248002E-3</v>
      </c>
      <c r="DA47">
        <v>9.1074928376157997E-3</v>
      </c>
      <c r="DB47" s="2">
        <v>1.3151962076985999E-7</v>
      </c>
    </row>
    <row r="48" spans="1:106" x14ac:dyDescent="0.25">
      <c r="A48">
        <v>25868</v>
      </c>
      <c r="B48" t="s">
        <v>284</v>
      </c>
      <c r="C48">
        <v>50</v>
      </c>
      <c r="D48" t="s">
        <v>261</v>
      </c>
      <c r="E48">
        <v>2</v>
      </c>
      <c r="F48" t="s">
        <v>167</v>
      </c>
      <c r="G48">
        <v>31799.16</v>
      </c>
      <c r="H48" t="s">
        <v>0</v>
      </c>
      <c r="I48">
        <v>4</v>
      </c>
      <c r="J48">
        <v>31799.16</v>
      </c>
      <c r="L48">
        <v>92117.401014000003</v>
      </c>
      <c r="O48">
        <v>796824</v>
      </c>
      <c r="P48" t="s">
        <v>27</v>
      </c>
      <c r="Q48">
        <v>114</v>
      </c>
      <c r="R48" t="s">
        <v>262</v>
      </c>
      <c r="S48" t="s">
        <v>263</v>
      </c>
      <c r="T48">
        <v>5300</v>
      </c>
      <c r="V48">
        <v>2142718135</v>
      </c>
      <c r="W48" t="s">
        <v>35</v>
      </c>
      <c r="Y48">
        <v>0.04</v>
      </c>
      <c r="AF48" t="s">
        <v>29</v>
      </c>
      <c r="AG48" t="s">
        <v>30</v>
      </c>
      <c r="AH48" s="1">
        <v>1</v>
      </c>
      <c r="AI48">
        <v>0.04</v>
      </c>
      <c r="AJ48">
        <v>17</v>
      </c>
      <c r="AK48">
        <v>0.68</v>
      </c>
      <c r="AM48">
        <v>0.68</v>
      </c>
      <c r="AN48">
        <v>3604</v>
      </c>
      <c r="AO48">
        <v>0.11333632712311</v>
      </c>
      <c r="AP48" t="s">
        <v>0</v>
      </c>
      <c r="AQ48" t="s">
        <v>264</v>
      </c>
      <c r="AR48">
        <v>30358</v>
      </c>
      <c r="AS48" t="s">
        <v>265</v>
      </c>
      <c r="AT48">
        <v>6</v>
      </c>
      <c r="AU48">
        <v>1</v>
      </c>
      <c r="AV48" t="s">
        <v>266</v>
      </c>
      <c r="AW48">
        <v>0</v>
      </c>
      <c r="AX48">
        <v>50</v>
      </c>
      <c r="AY48">
        <v>50</v>
      </c>
      <c r="AZ48" t="s">
        <v>285</v>
      </c>
      <c r="BC48">
        <v>4</v>
      </c>
      <c r="BE48">
        <v>3</v>
      </c>
      <c r="BG48">
        <v>0</v>
      </c>
      <c r="BH48">
        <v>100</v>
      </c>
      <c r="BI48">
        <v>0</v>
      </c>
      <c r="BK48">
        <v>98.895520000000005</v>
      </c>
      <c r="BL48">
        <v>58.895519999999998</v>
      </c>
      <c r="BM48">
        <v>40</v>
      </c>
      <c r="BN48">
        <v>0.95935762000000002</v>
      </c>
      <c r="BO48">
        <v>0.95935762000000002</v>
      </c>
      <c r="BP48">
        <v>0</v>
      </c>
      <c r="BQ48">
        <v>4.2053807000000001</v>
      </c>
      <c r="BR48">
        <v>4.2053807000000001</v>
      </c>
      <c r="BS48">
        <v>0</v>
      </c>
      <c r="BT48">
        <v>1.4900439E-2</v>
      </c>
      <c r="BU48">
        <v>2.6115595E-3</v>
      </c>
      <c r="BV48">
        <v>9.1377113000000003E-3</v>
      </c>
      <c r="BW48" s="2">
        <v>1.3195599999999999E-7</v>
      </c>
      <c r="BX48">
        <v>0</v>
      </c>
      <c r="BY48">
        <v>0</v>
      </c>
      <c r="BZ48">
        <v>6</v>
      </c>
      <c r="CA48">
        <v>67.248953599999993</v>
      </c>
      <c r="CB48">
        <v>40.048953599999997</v>
      </c>
      <c r="CC48">
        <v>27.2</v>
      </c>
      <c r="CD48">
        <v>0.65236318159999995</v>
      </c>
      <c r="CE48">
        <v>0.65236318159999995</v>
      </c>
      <c r="CF48">
        <v>0</v>
      </c>
      <c r="CG48">
        <v>2.8596588760000001</v>
      </c>
      <c r="CH48">
        <v>2.8596588760000001</v>
      </c>
      <c r="CI48">
        <v>0</v>
      </c>
      <c r="CJ48">
        <v>1.0132298519999999E-2</v>
      </c>
      <c r="CK48">
        <v>1.7758604600000001E-3</v>
      </c>
      <c r="CL48">
        <v>6.2136436840000003E-3</v>
      </c>
      <c r="CM48" s="2">
        <v>8.9730079999999996E-8</v>
      </c>
      <c r="CN48">
        <v>4.0692147353332997</v>
      </c>
      <c r="CO48">
        <v>139.37849225132999</v>
      </c>
      <c r="CP48">
        <v>11.20845500573</v>
      </c>
      <c r="CQ48">
        <v>6.6750019208055003</v>
      </c>
      <c r="CR48">
        <v>4.5334530849243002</v>
      </c>
      <c r="CS48">
        <v>0.10873006904836</v>
      </c>
      <c r="CT48">
        <v>0.10873006904836</v>
      </c>
      <c r="CU48">
        <v>0</v>
      </c>
      <c r="CV48">
        <v>0.47662240269240003</v>
      </c>
      <c r="CW48">
        <v>0.47662240269240003</v>
      </c>
      <c r="CX48">
        <v>0</v>
      </c>
      <c r="CY48">
        <v>1.6887610287819E-3</v>
      </c>
      <c r="CZ48">
        <v>2.9598456179346001E-4</v>
      </c>
      <c r="DA48">
        <v>1.0356346370533E-3</v>
      </c>
      <c r="DB48" s="2">
        <v>1.4955408381856999E-8</v>
      </c>
    </row>
    <row r="49" spans="1:106" x14ac:dyDescent="0.25">
      <c r="A49">
        <v>25868</v>
      </c>
      <c r="B49" t="s">
        <v>284</v>
      </c>
      <c r="C49">
        <v>50</v>
      </c>
      <c r="D49" t="s">
        <v>261</v>
      </c>
      <c r="E49">
        <v>2</v>
      </c>
      <c r="F49" t="s">
        <v>167</v>
      </c>
      <c r="G49">
        <v>31799.16</v>
      </c>
      <c r="H49" t="s">
        <v>0</v>
      </c>
      <c r="I49">
        <v>4</v>
      </c>
      <c r="J49">
        <v>31799.16</v>
      </c>
      <c r="L49">
        <v>92117.401014000003</v>
      </c>
      <c r="O49">
        <v>796824</v>
      </c>
      <c r="P49" t="s">
        <v>27</v>
      </c>
      <c r="Q49">
        <v>114</v>
      </c>
      <c r="R49" t="s">
        <v>262</v>
      </c>
      <c r="S49" t="s">
        <v>263</v>
      </c>
      <c r="T49">
        <v>5300</v>
      </c>
      <c r="W49" t="s">
        <v>36</v>
      </c>
      <c r="Y49">
        <v>5.0000000000000001E-3</v>
      </c>
      <c r="AF49" t="s">
        <v>29</v>
      </c>
      <c r="AG49" t="s">
        <v>30</v>
      </c>
      <c r="AH49" s="1">
        <v>1</v>
      </c>
      <c r="AI49">
        <v>5.0000000000000001E-3</v>
      </c>
      <c r="AJ49">
        <v>1100</v>
      </c>
      <c r="AK49">
        <v>5.5</v>
      </c>
      <c r="AM49">
        <v>5.5</v>
      </c>
      <c r="AN49">
        <v>29150</v>
      </c>
      <c r="AO49">
        <v>0.91669088114276998</v>
      </c>
      <c r="AP49" t="s">
        <v>0</v>
      </c>
      <c r="AQ49" t="s">
        <v>264</v>
      </c>
      <c r="AR49">
        <v>30358</v>
      </c>
      <c r="AS49" t="s">
        <v>265</v>
      </c>
      <c r="AT49">
        <v>7</v>
      </c>
      <c r="AU49">
        <v>1</v>
      </c>
      <c r="AV49" t="s">
        <v>266</v>
      </c>
      <c r="AW49">
        <v>0</v>
      </c>
      <c r="AX49">
        <v>50</v>
      </c>
      <c r="AY49">
        <v>35</v>
      </c>
      <c r="AZ49" t="s">
        <v>289</v>
      </c>
      <c r="BA49">
        <v>50</v>
      </c>
      <c r="BC49">
        <v>5</v>
      </c>
      <c r="BE49">
        <v>5</v>
      </c>
      <c r="BG49">
        <v>0</v>
      </c>
      <c r="BH49">
        <v>100</v>
      </c>
      <c r="BI49">
        <v>0</v>
      </c>
      <c r="BK49">
        <v>51.201659999999997</v>
      </c>
      <c r="BL49">
        <v>25.131136000000001</v>
      </c>
      <c r="BM49">
        <v>26.070523999999999</v>
      </c>
      <c r="BN49">
        <v>2.4764841999999998</v>
      </c>
      <c r="BO49">
        <v>2.4764841999999998</v>
      </c>
      <c r="BP49">
        <v>0</v>
      </c>
      <c r="BQ49">
        <v>1.6023311</v>
      </c>
      <c r="BR49">
        <v>1.6263311</v>
      </c>
      <c r="BS49">
        <v>-2.4E-2</v>
      </c>
      <c r="BT49">
        <v>8.6886602999999996E-3</v>
      </c>
      <c r="BU49">
        <v>2.0917025000000001E-3</v>
      </c>
      <c r="BV49">
        <v>1.2318813000000001E-3</v>
      </c>
      <c r="BW49" s="2">
        <v>3.3591714999999999E-7</v>
      </c>
      <c r="BX49">
        <v>0</v>
      </c>
      <c r="BY49">
        <v>0</v>
      </c>
      <c r="BZ49">
        <v>6</v>
      </c>
      <c r="CA49">
        <v>281.60912999999999</v>
      </c>
      <c r="CB49">
        <v>138.221248</v>
      </c>
      <c r="CC49">
        <v>143.38788199999999</v>
      </c>
      <c r="CD49">
        <v>13.6206631</v>
      </c>
      <c r="CE49">
        <v>13.6206631</v>
      </c>
      <c r="CF49">
        <v>0</v>
      </c>
      <c r="CG49">
        <v>8.8128210500000002</v>
      </c>
      <c r="CH49">
        <v>8.9448210499999998</v>
      </c>
      <c r="CI49">
        <v>-0.13200000000000001</v>
      </c>
      <c r="CJ49">
        <v>4.7787631650000002E-2</v>
      </c>
      <c r="CK49">
        <v>1.150436375E-2</v>
      </c>
      <c r="CL49">
        <v>6.7753471500000004E-3</v>
      </c>
      <c r="CM49" s="2">
        <v>1.8475443250000001E-6</v>
      </c>
      <c r="CN49">
        <v>17.227458728333001</v>
      </c>
      <c r="CO49">
        <v>139.37849225132999</v>
      </c>
      <c r="CP49">
        <v>46.936094821372997</v>
      </c>
      <c r="CQ49">
        <v>23.037483203958999</v>
      </c>
      <c r="CR49">
        <v>23.898611617414002</v>
      </c>
      <c r="CS49">
        <v>2.2701704834342</v>
      </c>
      <c r="CT49">
        <v>2.2701704834342</v>
      </c>
      <c r="CU49">
        <v>0</v>
      </c>
      <c r="CV49">
        <v>1.4688423079415001</v>
      </c>
      <c r="CW49">
        <v>1.4908428890889001</v>
      </c>
      <c r="CX49">
        <v>-2.2000581147426999E-2</v>
      </c>
      <c r="CY49">
        <v>7.9648156663572004E-3</v>
      </c>
      <c r="CZ49">
        <v>1.9174446078135E-3</v>
      </c>
      <c r="DA49">
        <v>1.1292543543602999E-3</v>
      </c>
      <c r="DB49" s="2">
        <v>3.0793218822447001E-7</v>
      </c>
    </row>
    <row r="50" spans="1:106" x14ac:dyDescent="0.25">
      <c r="A50">
        <v>25868</v>
      </c>
      <c r="B50" t="s">
        <v>284</v>
      </c>
      <c r="C50">
        <v>50</v>
      </c>
      <c r="D50" t="s">
        <v>261</v>
      </c>
      <c r="E50">
        <v>2</v>
      </c>
      <c r="F50" t="s">
        <v>167</v>
      </c>
      <c r="G50">
        <v>31799.16</v>
      </c>
      <c r="H50" t="s">
        <v>0</v>
      </c>
      <c r="I50">
        <v>4</v>
      </c>
      <c r="J50">
        <v>31799.16</v>
      </c>
      <c r="L50">
        <v>92117.401014000003</v>
      </c>
      <c r="O50">
        <v>796824</v>
      </c>
      <c r="P50" t="s">
        <v>27</v>
      </c>
      <c r="Q50">
        <v>114</v>
      </c>
      <c r="R50" t="s">
        <v>262</v>
      </c>
      <c r="S50" t="s">
        <v>263</v>
      </c>
      <c r="T50">
        <v>5300</v>
      </c>
      <c r="W50" t="s">
        <v>4</v>
      </c>
      <c r="Y50">
        <v>0.22</v>
      </c>
      <c r="AF50" t="s">
        <v>29</v>
      </c>
      <c r="AG50" t="s">
        <v>30</v>
      </c>
      <c r="AH50" s="1">
        <v>1</v>
      </c>
      <c r="AI50">
        <v>0.22</v>
      </c>
      <c r="AJ50">
        <v>475</v>
      </c>
      <c r="AK50">
        <v>104.5</v>
      </c>
      <c r="AM50">
        <v>104.5</v>
      </c>
      <c r="AN50">
        <v>553850</v>
      </c>
      <c r="AO50">
        <v>17.417126741712998</v>
      </c>
      <c r="AP50" t="s">
        <v>0</v>
      </c>
      <c r="AQ50" t="s">
        <v>264</v>
      </c>
      <c r="AR50">
        <v>30358</v>
      </c>
      <c r="AS50" t="s">
        <v>265</v>
      </c>
      <c r="AT50">
        <v>8</v>
      </c>
      <c r="AU50">
        <v>1</v>
      </c>
      <c r="AV50" t="s">
        <v>266</v>
      </c>
      <c r="AW50">
        <v>0</v>
      </c>
      <c r="AX50">
        <v>50</v>
      </c>
      <c r="AY50">
        <v>50</v>
      </c>
      <c r="AZ50" t="s">
        <v>285</v>
      </c>
      <c r="BC50">
        <v>1</v>
      </c>
      <c r="BE50">
        <v>1</v>
      </c>
      <c r="BG50">
        <v>0</v>
      </c>
      <c r="BH50">
        <v>100</v>
      </c>
      <c r="BI50">
        <v>0</v>
      </c>
      <c r="BK50">
        <v>7.3674311000000001</v>
      </c>
      <c r="BL50">
        <v>7.0057344636360002</v>
      </c>
      <c r="BM50">
        <v>0.36169663636400001</v>
      </c>
      <c r="BN50">
        <v>14.931191</v>
      </c>
      <c r="BO50">
        <v>0.53119099999999997</v>
      </c>
      <c r="BP50">
        <v>14.4</v>
      </c>
      <c r="BQ50">
        <v>-0.42124977000000002</v>
      </c>
      <c r="BR50">
        <v>0.42520023000000001</v>
      </c>
      <c r="BS50">
        <v>-0.84645000000000004</v>
      </c>
      <c r="BT50">
        <v>2.1681996000000002E-3</v>
      </c>
      <c r="BU50">
        <v>8.9600653000000002E-4</v>
      </c>
      <c r="BV50">
        <v>7.5086816999999999E-4</v>
      </c>
      <c r="BW50" s="2">
        <v>3.6616000000000002E-8</v>
      </c>
      <c r="BX50">
        <v>0</v>
      </c>
      <c r="BY50">
        <v>0</v>
      </c>
      <c r="BZ50">
        <v>6</v>
      </c>
      <c r="CA50">
        <v>769.89654995000001</v>
      </c>
      <c r="CB50">
        <v>732.09925144995998</v>
      </c>
      <c r="CC50">
        <v>37.797298500038004</v>
      </c>
      <c r="CD50">
        <v>1560.3094595</v>
      </c>
      <c r="CE50">
        <v>55.509459499999998</v>
      </c>
      <c r="CF50">
        <v>1504.8</v>
      </c>
      <c r="CG50">
        <v>-44.020600965</v>
      </c>
      <c r="CH50">
        <v>44.433424035000002</v>
      </c>
      <c r="CI50">
        <v>-88.454025000000001</v>
      </c>
      <c r="CJ50">
        <v>0.22657685820000001</v>
      </c>
      <c r="CK50">
        <v>9.3632682384999999E-2</v>
      </c>
      <c r="CL50">
        <v>7.8465723764999995E-2</v>
      </c>
      <c r="CM50" s="2">
        <v>3.8263720000000004E-6</v>
      </c>
      <c r="CN50">
        <v>48.536699264166998</v>
      </c>
      <c r="CO50">
        <v>139.37849225132999</v>
      </c>
      <c r="CP50">
        <v>128.31948122954</v>
      </c>
      <c r="CQ50">
        <v>122.01976507193</v>
      </c>
      <c r="CR50">
        <v>6.2997161576030001</v>
      </c>
      <c r="CS50">
        <v>260.05844605172001</v>
      </c>
      <c r="CT50">
        <v>9.2518209710571</v>
      </c>
      <c r="CU50">
        <v>250.80662508066001</v>
      </c>
      <c r="CV50">
        <v>-7.3369606340073004</v>
      </c>
      <c r="CW50">
        <v>7.4057662965153996</v>
      </c>
      <c r="CX50">
        <v>-14.742726930523</v>
      </c>
      <c r="CY50">
        <v>3.7763807234531002E-2</v>
      </c>
      <c r="CZ50">
        <v>1.5605859294412E-2</v>
      </c>
      <c r="DA50">
        <v>1.3077966083207999E-2</v>
      </c>
      <c r="DB50" s="2">
        <v>6.3774551277454998E-7</v>
      </c>
    </row>
    <row r="51" spans="1:106" x14ac:dyDescent="0.25">
      <c r="A51">
        <v>25868</v>
      </c>
      <c r="B51" t="s">
        <v>284</v>
      </c>
      <c r="C51">
        <v>50</v>
      </c>
      <c r="D51" t="s">
        <v>261</v>
      </c>
      <c r="E51">
        <v>2</v>
      </c>
      <c r="F51" t="s">
        <v>167</v>
      </c>
      <c r="G51">
        <v>31799.16</v>
      </c>
      <c r="H51" t="s">
        <v>0</v>
      </c>
      <c r="I51">
        <v>4</v>
      </c>
      <c r="J51">
        <v>31799.16</v>
      </c>
      <c r="L51">
        <v>92117.401014000003</v>
      </c>
      <c r="O51">
        <v>796827</v>
      </c>
      <c r="P51" t="s">
        <v>37</v>
      </c>
      <c r="Q51">
        <v>114</v>
      </c>
      <c r="R51" t="s">
        <v>262</v>
      </c>
      <c r="S51" t="s">
        <v>263</v>
      </c>
      <c r="T51">
        <v>627</v>
      </c>
      <c r="W51" t="s">
        <v>28</v>
      </c>
      <c r="Y51">
        <v>0.04</v>
      </c>
      <c r="AF51" t="s">
        <v>29</v>
      </c>
      <c r="AG51" t="s">
        <v>30</v>
      </c>
      <c r="AH51" s="1">
        <v>1</v>
      </c>
      <c r="AI51">
        <v>0.04</v>
      </c>
      <c r="AJ51">
        <v>2400</v>
      </c>
      <c r="AK51">
        <v>96</v>
      </c>
      <c r="AM51">
        <v>96</v>
      </c>
      <c r="AN51">
        <v>60192</v>
      </c>
      <c r="AO51">
        <v>1.8928801892880001</v>
      </c>
      <c r="AP51" t="s">
        <v>0</v>
      </c>
      <c r="AQ51" t="s">
        <v>264</v>
      </c>
      <c r="AR51">
        <v>30358</v>
      </c>
      <c r="AS51" t="s">
        <v>265</v>
      </c>
      <c r="AT51">
        <v>1</v>
      </c>
      <c r="AU51">
        <v>1</v>
      </c>
      <c r="AV51" t="s">
        <v>266</v>
      </c>
      <c r="AW51">
        <v>0</v>
      </c>
      <c r="AX51">
        <v>50</v>
      </c>
      <c r="AY51">
        <v>50</v>
      </c>
      <c r="AZ51" t="s">
        <v>288</v>
      </c>
      <c r="BG51">
        <v>0</v>
      </c>
      <c r="BH51">
        <v>0</v>
      </c>
      <c r="BI51">
        <v>0</v>
      </c>
      <c r="BK51">
        <v>0.70247170999999997</v>
      </c>
      <c r="BL51">
        <v>0.70247170999999997</v>
      </c>
      <c r="BM51">
        <v>0</v>
      </c>
      <c r="BN51">
        <v>3.7404760000000002E-2</v>
      </c>
      <c r="BO51">
        <v>3.7404760000000002E-2</v>
      </c>
      <c r="BP51">
        <v>0</v>
      </c>
      <c r="BQ51">
        <v>9.2611880999999993E-2</v>
      </c>
      <c r="BR51">
        <v>9.2611880999999993E-2</v>
      </c>
      <c r="BS51">
        <v>0</v>
      </c>
      <c r="BT51">
        <v>1.6944177999999999E-4</v>
      </c>
      <c r="BU51">
        <v>1.1144267E-4</v>
      </c>
      <c r="BV51" s="2">
        <v>2.6770112999999999E-5</v>
      </c>
      <c r="BW51" s="2">
        <v>2.1878503000000001E-9</v>
      </c>
      <c r="BX51">
        <v>0</v>
      </c>
      <c r="BY51">
        <v>0</v>
      </c>
      <c r="BZ51">
        <v>6</v>
      </c>
      <c r="CA51">
        <v>67.437284160000004</v>
      </c>
      <c r="CB51">
        <v>67.437284160000004</v>
      </c>
      <c r="CC51">
        <v>0</v>
      </c>
      <c r="CD51">
        <v>3.59085696</v>
      </c>
      <c r="CE51">
        <v>3.59085696</v>
      </c>
      <c r="CF51">
        <v>0</v>
      </c>
      <c r="CG51">
        <v>8.8907405760000007</v>
      </c>
      <c r="CH51">
        <v>8.8907405760000007</v>
      </c>
      <c r="CI51">
        <v>0</v>
      </c>
      <c r="CJ51">
        <v>1.6266410879999998E-2</v>
      </c>
      <c r="CK51">
        <v>1.0698496320000001E-2</v>
      </c>
      <c r="CL51">
        <v>2.5699308479999999E-3</v>
      </c>
      <c r="CM51" s="2">
        <v>2.100336288E-7</v>
      </c>
      <c r="CN51">
        <v>5.8985543519999997</v>
      </c>
      <c r="CO51">
        <v>160.71530899845001</v>
      </c>
      <c r="CP51">
        <v>1.3296947833943</v>
      </c>
      <c r="CQ51">
        <v>1.3296947833943</v>
      </c>
      <c r="CR51">
        <v>0</v>
      </c>
      <c r="CS51">
        <v>7.0802729189073002E-2</v>
      </c>
      <c r="CT51">
        <v>7.0802729189073002E-2</v>
      </c>
      <c r="CU51">
        <v>0</v>
      </c>
      <c r="CV51">
        <v>0.17530319483760001</v>
      </c>
      <c r="CW51">
        <v>0.17530319483760001</v>
      </c>
      <c r="CX51">
        <v>0</v>
      </c>
      <c r="CY51">
        <v>3.2073298859969999E-4</v>
      </c>
      <c r="CZ51">
        <v>2.1094762228436001E-4</v>
      </c>
      <c r="DA51" s="2">
        <v>5.0672616562702002E-5</v>
      </c>
      <c r="DB51" s="2">
        <v>4.1413384899977999E-9</v>
      </c>
    </row>
    <row r="52" spans="1:106" x14ac:dyDescent="0.25">
      <c r="A52">
        <v>25868</v>
      </c>
      <c r="B52" t="s">
        <v>284</v>
      </c>
      <c r="C52">
        <v>50</v>
      </c>
      <c r="D52" t="s">
        <v>261</v>
      </c>
      <c r="E52">
        <v>2</v>
      </c>
      <c r="F52" t="s">
        <v>167</v>
      </c>
      <c r="G52">
        <v>31799.16</v>
      </c>
      <c r="H52" t="s">
        <v>0</v>
      </c>
      <c r="I52">
        <v>4</v>
      </c>
      <c r="J52">
        <v>31799.16</v>
      </c>
      <c r="L52">
        <v>92117.401014000003</v>
      </c>
      <c r="O52">
        <v>796827</v>
      </c>
      <c r="P52" t="s">
        <v>37</v>
      </c>
      <c r="Q52">
        <v>114</v>
      </c>
      <c r="R52" t="s">
        <v>262</v>
      </c>
      <c r="S52" t="s">
        <v>263</v>
      </c>
      <c r="T52">
        <v>627</v>
      </c>
      <c r="W52" t="s">
        <v>31</v>
      </c>
      <c r="Y52">
        <v>5.2999999999999999E-2</v>
      </c>
      <c r="AF52" t="s">
        <v>29</v>
      </c>
      <c r="AG52" t="s">
        <v>30</v>
      </c>
      <c r="AH52" s="1">
        <v>1</v>
      </c>
      <c r="AI52">
        <v>5.2999999999999999E-2</v>
      </c>
      <c r="AJ52">
        <v>1800</v>
      </c>
      <c r="AK52">
        <v>95.4</v>
      </c>
      <c r="AM52">
        <v>95.4</v>
      </c>
      <c r="AN52">
        <v>59815.8</v>
      </c>
      <c r="AO52">
        <v>1.8810496881050001</v>
      </c>
      <c r="AP52" t="s">
        <v>0</v>
      </c>
      <c r="AQ52" t="s">
        <v>264</v>
      </c>
      <c r="AR52">
        <v>30358</v>
      </c>
      <c r="AS52" t="s">
        <v>265</v>
      </c>
      <c r="AT52">
        <v>2</v>
      </c>
      <c r="AU52">
        <v>1</v>
      </c>
      <c r="AV52" t="s">
        <v>266</v>
      </c>
      <c r="AW52">
        <v>0</v>
      </c>
      <c r="AX52">
        <v>50</v>
      </c>
      <c r="AY52">
        <v>50</v>
      </c>
      <c r="AZ52" t="s">
        <v>285</v>
      </c>
      <c r="BC52">
        <v>2</v>
      </c>
      <c r="BE52">
        <v>1</v>
      </c>
      <c r="BG52">
        <v>100</v>
      </c>
      <c r="BH52">
        <v>0</v>
      </c>
      <c r="BI52">
        <v>0</v>
      </c>
      <c r="BK52">
        <v>0.10370840000000001</v>
      </c>
      <c r="BL52">
        <v>0.10370840000000001</v>
      </c>
      <c r="BM52">
        <v>0</v>
      </c>
      <c r="BN52">
        <v>2.6199716999999998E-3</v>
      </c>
      <c r="BO52">
        <v>2.6199716999999998E-3</v>
      </c>
      <c r="BP52">
        <v>0</v>
      </c>
      <c r="BQ52">
        <v>7.0793302999999997E-3</v>
      </c>
      <c r="BR52">
        <v>7.0793302999999997E-3</v>
      </c>
      <c r="BS52">
        <v>0</v>
      </c>
      <c r="BT52" s="2">
        <v>4.8332080000000003E-5</v>
      </c>
      <c r="BU52" s="2">
        <v>1.4589555E-5</v>
      </c>
      <c r="BV52" s="2">
        <v>5.2414253000000002E-6</v>
      </c>
      <c r="BW52" s="2">
        <v>7.5267095999999998E-10</v>
      </c>
      <c r="BX52">
        <v>1</v>
      </c>
      <c r="BY52">
        <v>0</v>
      </c>
      <c r="BZ52">
        <v>6</v>
      </c>
      <c r="CA52">
        <v>9.8937813600000002</v>
      </c>
      <c r="CB52">
        <v>9.8937813600000002</v>
      </c>
      <c r="CC52">
        <v>0</v>
      </c>
      <c r="CD52">
        <v>0.24994530018</v>
      </c>
      <c r="CE52">
        <v>0.24994530018</v>
      </c>
      <c r="CF52">
        <v>0</v>
      </c>
      <c r="CG52">
        <v>0.67536811062000002</v>
      </c>
      <c r="CH52">
        <v>0.67536811062000002</v>
      </c>
      <c r="CI52">
        <v>0</v>
      </c>
      <c r="CJ52">
        <v>4.6108804320000004E-3</v>
      </c>
      <c r="CK52">
        <v>1.391843547E-3</v>
      </c>
      <c r="CL52">
        <v>5.0003197362000001E-4</v>
      </c>
      <c r="CM52" s="2">
        <v>7.1804809584000003E-8</v>
      </c>
      <c r="CN52">
        <v>1.05713812137</v>
      </c>
      <c r="CO52">
        <v>160.71530899845001</v>
      </c>
      <c r="CP52">
        <v>0.19508065347386999</v>
      </c>
      <c r="CQ52">
        <v>0.19508065347386999</v>
      </c>
      <c r="CR52">
        <v>0</v>
      </c>
      <c r="CS52">
        <v>4.9282969491288003E-3</v>
      </c>
      <c r="CT52">
        <v>4.9282969491288003E-3</v>
      </c>
      <c r="CU52">
        <v>0</v>
      </c>
      <c r="CV52">
        <v>1.3316572052807001E-2</v>
      </c>
      <c r="CW52">
        <v>1.3316572052807001E-2</v>
      </c>
      <c r="CX52">
        <v>0</v>
      </c>
      <c r="CY52" s="2">
        <v>9.0915044009463994E-5</v>
      </c>
      <c r="CZ52" s="2">
        <v>2.7443677882340001E-5</v>
      </c>
      <c r="DA52" s="2">
        <v>9.8593814257905001E-6</v>
      </c>
      <c r="DB52" s="2">
        <v>1.4158114745537E-9</v>
      </c>
    </row>
    <row r="53" spans="1:106" x14ac:dyDescent="0.25">
      <c r="A53">
        <v>25868</v>
      </c>
      <c r="B53" t="s">
        <v>284</v>
      </c>
      <c r="C53">
        <v>50</v>
      </c>
      <c r="D53" t="s">
        <v>261</v>
      </c>
      <c r="E53">
        <v>2</v>
      </c>
      <c r="F53" t="s">
        <v>167</v>
      </c>
      <c r="G53">
        <v>31799.16</v>
      </c>
      <c r="H53" t="s">
        <v>0</v>
      </c>
      <c r="I53">
        <v>4</v>
      </c>
      <c r="J53">
        <v>31799.16</v>
      </c>
      <c r="L53">
        <v>92117.401014000003</v>
      </c>
      <c r="O53">
        <v>796827</v>
      </c>
      <c r="P53" t="s">
        <v>37</v>
      </c>
      <c r="Q53">
        <v>114</v>
      </c>
      <c r="R53" t="s">
        <v>262</v>
      </c>
      <c r="S53" t="s">
        <v>263</v>
      </c>
      <c r="T53">
        <v>627</v>
      </c>
      <c r="W53" t="s">
        <v>32</v>
      </c>
      <c r="Y53">
        <v>5.0000000000000001E-3</v>
      </c>
      <c r="AF53" t="s">
        <v>29</v>
      </c>
      <c r="AG53" t="s">
        <v>30</v>
      </c>
      <c r="AH53" s="1">
        <v>1</v>
      </c>
      <c r="AI53">
        <v>5.0000000000000001E-3</v>
      </c>
      <c r="AJ53">
        <v>300</v>
      </c>
      <c r="AK53">
        <v>1.5</v>
      </c>
      <c r="AM53">
        <v>1.5</v>
      </c>
      <c r="AN53">
        <v>940.5</v>
      </c>
      <c r="AO53">
        <v>2.9576252957625001E-2</v>
      </c>
      <c r="AP53" t="s">
        <v>0</v>
      </c>
      <c r="AQ53" t="s">
        <v>264</v>
      </c>
      <c r="AR53">
        <v>30358</v>
      </c>
      <c r="AS53" t="s">
        <v>265</v>
      </c>
      <c r="AT53">
        <v>3</v>
      </c>
      <c r="AU53">
        <v>1</v>
      </c>
      <c r="AV53" t="s">
        <v>266</v>
      </c>
      <c r="AW53">
        <v>1</v>
      </c>
      <c r="AX53">
        <v>25</v>
      </c>
      <c r="AY53">
        <v>25</v>
      </c>
      <c r="AZ53" t="s">
        <v>286</v>
      </c>
      <c r="BC53">
        <v>3</v>
      </c>
      <c r="BE53">
        <v>3</v>
      </c>
      <c r="BG53">
        <v>0</v>
      </c>
      <c r="BH53">
        <v>100</v>
      </c>
      <c r="BI53">
        <v>0</v>
      </c>
      <c r="BK53">
        <v>85.988403000000005</v>
      </c>
      <c r="BL53">
        <v>43.518402999999999</v>
      </c>
      <c r="BM53">
        <v>42.47</v>
      </c>
      <c r="BN53">
        <v>1.3022769000000001</v>
      </c>
      <c r="BO53">
        <v>1.3022769000000001</v>
      </c>
      <c r="BP53">
        <v>0</v>
      </c>
      <c r="BQ53">
        <v>2.8430924000000002</v>
      </c>
      <c r="BR53">
        <v>2.8640924000000001</v>
      </c>
      <c r="BS53">
        <v>-2.1000000000000001E-2</v>
      </c>
      <c r="BT53">
        <v>8.3217996000000006E-3</v>
      </c>
      <c r="BU53">
        <v>1.6064606999999999E-3</v>
      </c>
      <c r="BV53">
        <v>2.4785428000000001E-3</v>
      </c>
      <c r="BW53" s="2">
        <v>3.9116873999999998E-8</v>
      </c>
      <c r="BX53">
        <v>0</v>
      </c>
      <c r="BY53">
        <v>0</v>
      </c>
      <c r="BZ53">
        <v>6</v>
      </c>
      <c r="CA53">
        <v>257.96520900000002</v>
      </c>
      <c r="CB53">
        <v>130.55520899999999</v>
      </c>
      <c r="CC53">
        <v>127.41</v>
      </c>
      <c r="CD53">
        <v>3.9068307</v>
      </c>
      <c r="CE53">
        <v>3.9068307</v>
      </c>
      <c r="CF53">
        <v>0</v>
      </c>
      <c r="CG53">
        <v>8.5607772000000004</v>
      </c>
      <c r="CH53">
        <v>8.5922771999999998</v>
      </c>
      <c r="CI53">
        <v>-3.15E-2</v>
      </c>
      <c r="CJ53">
        <v>2.49653988E-2</v>
      </c>
      <c r="CK53">
        <v>4.8193821000000001E-3</v>
      </c>
      <c r="CL53">
        <v>7.4356283999999998E-3</v>
      </c>
      <c r="CM53" s="2">
        <v>1.17350622E-7</v>
      </c>
      <c r="CN53">
        <v>13.354356340000001</v>
      </c>
      <c r="CO53">
        <v>160.71530899845001</v>
      </c>
      <c r="CP53">
        <v>5.0864295171005001</v>
      </c>
      <c r="CQ53">
        <v>2.5742225908798</v>
      </c>
      <c r="CR53">
        <v>2.5122069262207001</v>
      </c>
      <c r="CS53">
        <v>7.7032942030544005E-2</v>
      </c>
      <c r="CT53">
        <v>7.7032942030544005E-2</v>
      </c>
      <c r="CU53">
        <v>0</v>
      </c>
      <c r="CV53">
        <v>0.16879714132071</v>
      </c>
      <c r="CW53">
        <v>0.16941824263281999</v>
      </c>
      <c r="CX53">
        <v>-6.2110131211013005E-4</v>
      </c>
      <c r="CY53">
        <v>4.9225530006453001E-4</v>
      </c>
      <c r="CZ53" s="2">
        <v>9.5026176059368007E-5</v>
      </c>
      <c r="DA53">
        <v>1.4661201763819999E-4</v>
      </c>
      <c r="DB53" s="2">
        <v>2.3138611206711E-9</v>
      </c>
    </row>
    <row r="54" spans="1:106" x14ac:dyDescent="0.25">
      <c r="A54">
        <v>25868</v>
      </c>
      <c r="B54" t="s">
        <v>284</v>
      </c>
      <c r="C54">
        <v>50</v>
      </c>
      <c r="D54" t="s">
        <v>261</v>
      </c>
      <c r="E54">
        <v>2</v>
      </c>
      <c r="F54" t="s">
        <v>167</v>
      </c>
      <c r="G54">
        <v>31799.16</v>
      </c>
      <c r="H54" t="s">
        <v>0</v>
      </c>
      <c r="I54">
        <v>4</v>
      </c>
      <c r="J54">
        <v>31799.16</v>
      </c>
      <c r="L54">
        <v>92117.401014000003</v>
      </c>
      <c r="O54">
        <v>796827</v>
      </c>
      <c r="P54" t="s">
        <v>37</v>
      </c>
      <c r="Q54">
        <v>114</v>
      </c>
      <c r="R54" t="s">
        <v>262</v>
      </c>
      <c r="S54" t="s">
        <v>263</v>
      </c>
      <c r="T54">
        <v>627</v>
      </c>
      <c r="W54" t="s">
        <v>33</v>
      </c>
      <c r="Y54">
        <v>0.01</v>
      </c>
      <c r="AF54" t="s">
        <v>29</v>
      </c>
      <c r="AG54" t="s">
        <v>30</v>
      </c>
      <c r="AH54" s="1">
        <v>1</v>
      </c>
      <c r="AI54">
        <v>0.01</v>
      </c>
      <c r="AJ54">
        <v>1100</v>
      </c>
      <c r="AK54">
        <v>11</v>
      </c>
      <c r="AM54">
        <v>11</v>
      </c>
      <c r="AN54">
        <v>6897</v>
      </c>
      <c r="AO54">
        <v>0.21689252168925</v>
      </c>
      <c r="AP54" t="s">
        <v>0</v>
      </c>
      <c r="AQ54" t="s">
        <v>264</v>
      </c>
      <c r="AR54">
        <v>30358</v>
      </c>
      <c r="AS54" t="s">
        <v>265</v>
      </c>
      <c r="AT54">
        <v>4</v>
      </c>
      <c r="AU54">
        <v>1</v>
      </c>
      <c r="AV54" t="s">
        <v>266</v>
      </c>
      <c r="AW54">
        <v>1</v>
      </c>
      <c r="AX54">
        <v>25</v>
      </c>
      <c r="AY54">
        <v>25</v>
      </c>
      <c r="AZ54" t="s">
        <v>286</v>
      </c>
      <c r="BC54">
        <v>3</v>
      </c>
      <c r="BE54">
        <v>5</v>
      </c>
      <c r="BG54">
        <v>0</v>
      </c>
      <c r="BH54">
        <v>100</v>
      </c>
      <c r="BI54">
        <v>0</v>
      </c>
      <c r="BK54">
        <v>41.596041</v>
      </c>
      <c r="BL54">
        <v>17.239440999999999</v>
      </c>
      <c r="BM54">
        <v>24.3566</v>
      </c>
      <c r="BN54">
        <v>0.66435392999999998</v>
      </c>
      <c r="BO54">
        <v>0.66435392999999998</v>
      </c>
      <c r="BP54">
        <v>0</v>
      </c>
      <c r="BQ54">
        <v>0.82198998999999995</v>
      </c>
      <c r="BR54">
        <v>0.82398998999999995</v>
      </c>
      <c r="BS54">
        <v>-2E-3</v>
      </c>
      <c r="BT54">
        <v>5.5642143999999998E-3</v>
      </c>
      <c r="BU54">
        <v>1.8152159999999999E-3</v>
      </c>
      <c r="BV54">
        <v>1.1380679000000001E-3</v>
      </c>
      <c r="BW54" s="2">
        <v>3.1630835E-7</v>
      </c>
      <c r="BX54">
        <v>1</v>
      </c>
      <c r="BY54">
        <v>0</v>
      </c>
      <c r="BZ54">
        <v>6</v>
      </c>
      <c r="CA54">
        <v>915.11290199999996</v>
      </c>
      <c r="CB54">
        <v>379.26770199999999</v>
      </c>
      <c r="CC54">
        <v>535.84519999999998</v>
      </c>
      <c r="CD54">
        <v>14.615786460000001</v>
      </c>
      <c r="CE54">
        <v>14.615786460000001</v>
      </c>
      <c r="CF54">
        <v>0</v>
      </c>
      <c r="CG54">
        <v>18.105779779999999</v>
      </c>
      <c r="CH54">
        <v>18.127779780000001</v>
      </c>
      <c r="CI54">
        <v>-2.1999999999999999E-2</v>
      </c>
      <c r="CJ54">
        <v>0.1224127168</v>
      </c>
      <c r="CK54">
        <v>3.9934751999999997E-2</v>
      </c>
      <c r="CL54">
        <v>2.5037493800000001E-2</v>
      </c>
      <c r="CM54" s="2">
        <v>6.9587836999999999E-6</v>
      </c>
      <c r="CN54">
        <v>49.843088936667002</v>
      </c>
      <c r="CO54">
        <v>160.71530899845001</v>
      </c>
      <c r="CP54">
        <v>18.043740449558999</v>
      </c>
      <c r="CQ54">
        <v>7.4782116620062</v>
      </c>
      <c r="CR54">
        <v>10.565528787552999</v>
      </c>
      <c r="CS54">
        <v>0.28818679834373001</v>
      </c>
      <c r="CT54">
        <v>0.28818679834373001</v>
      </c>
      <c r="CU54">
        <v>0</v>
      </c>
      <c r="CV54">
        <v>0.35700074851222002</v>
      </c>
      <c r="CW54">
        <v>0.35743453355560001</v>
      </c>
      <c r="CX54">
        <v>-4.3378504337850002E-4</v>
      </c>
      <c r="CY54">
        <v>2.4136729848712999E-3</v>
      </c>
      <c r="CZ54">
        <v>7.8741355130135997E-4</v>
      </c>
      <c r="DA54">
        <v>4.9367683336917995E-4</v>
      </c>
      <c r="DB54" s="2">
        <v>1.3720983132573001E-7</v>
      </c>
    </row>
    <row r="55" spans="1:106" x14ac:dyDescent="0.25">
      <c r="A55">
        <v>25868</v>
      </c>
      <c r="B55" t="s">
        <v>284</v>
      </c>
      <c r="C55">
        <v>50</v>
      </c>
      <c r="D55" t="s">
        <v>261</v>
      </c>
      <c r="E55">
        <v>2</v>
      </c>
      <c r="F55" t="s">
        <v>167</v>
      </c>
      <c r="G55">
        <v>31799.16</v>
      </c>
      <c r="H55" t="s">
        <v>0</v>
      </c>
      <c r="I55">
        <v>4</v>
      </c>
      <c r="J55">
        <v>31799.16</v>
      </c>
      <c r="L55">
        <v>92117.401014000003</v>
      </c>
      <c r="O55">
        <v>796827</v>
      </c>
      <c r="P55" t="s">
        <v>37</v>
      </c>
      <c r="Q55">
        <v>114</v>
      </c>
      <c r="R55" t="s">
        <v>262</v>
      </c>
      <c r="S55" t="s">
        <v>263</v>
      </c>
      <c r="T55">
        <v>627</v>
      </c>
      <c r="V55">
        <v>2142717435</v>
      </c>
      <c r="W55" t="s">
        <v>38</v>
      </c>
      <c r="Y55">
        <v>0.22500000000000001</v>
      </c>
      <c r="AF55" t="s">
        <v>29</v>
      </c>
      <c r="AG55" t="s">
        <v>30</v>
      </c>
      <c r="AH55" s="1">
        <v>1</v>
      </c>
      <c r="AI55">
        <v>0.22500000000000001</v>
      </c>
      <c r="AJ55">
        <v>23</v>
      </c>
      <c r="AK55">
        <v>5.1749999999999998</v>
      </c>
      <c r="AM55">
        <v>5.1749999999999998</v>
      </c>
      <c r="AN55">
        <v>3244.7249999999999</v>
      </c>
      <c r="AO55">
        <v>0.10203807270381</v>
      </c>
      <c r="AP55" t="s">
        <v>0</v>
      </c>
      <c r="AQ55" t="s">
        <v>264</v>
      </c>
      <c r="AR55">
        <v>30358</v>
      </c>
      <c r="AS55" t="s">
        <v>265</v>
      </c>
      <c r="AT55">
        <v>5</v>
      </c>
      <c r="AU55">
        <v>1</v>
      </c>
      <c r="AV55" t="s">
        <v>266</v>
      </c>
      <c r="AW55">
        <v>0</v>
      </c>
      <c r="AX55">
        <v>50</v>
      </c>
      <c r="AY55">
        <v>50</v>
      </c>
      <c r="AZ55" t="s">
        <v>285</v>
      </c>
      <c r="BC55">
        <v>4</v>
      </c>
      <c r="BE55">
        <v>3</v>
      </c>
      <c r="BG55">
        <v>0</v>
      </c>
      <c r="BH55">
        <v>100</v>
      </c>
      <c r="BI55">
        <v>0</v>
      </c>
      <c r="BK55">
        <v>98.895520000000005</v>
      </c>
      <c r="BL55">
        <v>58.895519999999998</v>
      </c>
      <c r="BM55">
        <v>40</v>
      </c>
      <c r="BN55">
        <v>0.95935762000000002</v>
      </c>
      <c r="BO55">
        <v>0.95935762000000002</v>
      </c>
      <c r="BP55">
        <v>0</v>
      </c>
      <c r="BQ55">
        <v>4.2053807000000001</v>
      </c>
      <c r="BR55">
        <v>4.2053807000000001</v>
      </c>
      <c r="BS55">
        <v>0</v>
      </c>
      <c r="BT55">
        <v>1.4900439E-2</v>
      </c>
      <c r="BU55">
        <v>2.6115595E-3</v>
      </c>
      <c r="BV55">
        <v>9.1377113000000003E-3</v>
      </c>
      <c r="BW55" s="2">
        <v>1.3195599999999999E-7</v>
      </c>
      <c r="BX55">
        <v>0</v>
      </c>
      <c r="BY55">
        <v>0</v>
      </c>
      <c r="BZ55">
        <v>6</v>
      </c>
      <c r="CA55">
        <v>511.78431599999999</v>
      </c>
      <c r="CB55">
        <v>304.78431599999999</v>
      </c>
      <c r="CC55">
        <v>207</v>
      </c>
      <c r="CD55">
        <v>4.9646756835000003</v>
      </c>
      <c r="CE55">
        <v>4.9646756835000003</v>
      </c>
      <c r="CF55">
        <v>0</v>
      </c>
      <c r="CG55">
        <v>21.7628451225</v>
      </c>
      <c r="CH55">
        <v>21.7628451225</v>
      </c>
      <c r="CI55">
        <v>0</v>
      </c>
      <c r="CJ55">
        <v>7.7109771825000006E-2</v>
      </c>
      <c r="CK55">
        <v>1.35148204125E-2</v>
      </c>
      <c r="CL55">
        <v>4.7287655977500002E-2</v>
      </c>
      <c r="CM55" s="2">
        <v>6.8287229999999995E-7</v>
      </c>
      <c r="CN55">
        <v>30.96792096375</v>
      </c>
      <c r="CO55">
        <v>160.71530899845001</v>
      </c>
      <c r="CP55">
        <v>10.091108259841</v>
      </c>
      <c r="CQ55">
        <v>6.0095853516885001</v>
      </c>
      <c r="CR55">
        <v>4.0815229081522997</v>
      </c>
      <c r="CS55">
        <v>9.7891002578512007E-2</v>
      </c>
      <c r="CT55">
        <v>9.7891002578512007E-2</v>
      </c>
      <c r="CU55">
        <v>0</v>
      </c>
      <c r="CV55">
        <v>0.42910894161378998</v>
      </c>
      <c r="CW55">
        <v>0.42910894161378998</v>
      </c>
      <c r="CX55">
        <v>0</v>
      </c>
      <c r="CY55">
        <v>1.5204120780006E-3</v>
      </c>
      <c r="CZ55">
        <v>2.6647849813132E-4</v>
      </c>
      <c r="DA55">
        <v>9.3239444997580002E-4</v>
      </c>
      <c r="DB55" s="2">
        <v>1.3464535921703999E-8</v>
      </c>
    </row>
    <row r="56" spans="1:106" x14ac:dyDescent="0.25">
      <c r="A56">
        <v>25868</v>
      </c>
      <c r="B56" t="s">
        <v>284</v>
      </c>
      <c r="C56">
        <v>50</v>
      </c>
      <c r="D56" t="s">
        <v>261</v>
      </c>
      <c r="E56">
        <v>2</v>
      </c>
      <c r="F56" t="s">
        <v>167</v>
      </c>
      <c r="G56">
        <v>31799.16</v>
      </c>
      <c r="H56" t="s">
        <v>0</v>
      </c>
      <c r="I56">
        <v>4</v>
      </c>
      <c r="J56">
        <v>31799.16</v>
      </c>
      <c r="L56">
        <v>92117.401014000003</v>
      </c>
      <c r="O56">
        <v>796827</v>
      </c>
      <c r="P56" t="s">
        <v>37</v>
      </c>
      <c r="Q56">
        <v>114</v>
      </c>
      <c r="R56" t="s">
        <v>262</v>
      </c>
      <c r="S56" t="s">
        <v>263</v>
      </c>
      <c r="T56">
        <v>627</v>
      </c>
      <c r="W56" t="s">
        <v>36</v>
      </c>
      <c r="Y56">
        <v>5.0000000000000001E-3</v>
      </c>
      <c r="AF56" t="s">
        <v>29</v>
      </c>
      <c r="AG56" t="s">
        <v>30</v>
      </c>
      <c r="AH56" s="1">
        <v>1</v>
      </c>
      <c r="AI56">
        <v>5.0000000000000001E-3</v>
      </c>
      <c r="AJ56">
        <v>1100</v>
      </c>
      <c r="AK56">
        <v>5.5</v>
      </c>
      <c r="AM56">
        <v>5.5</v>
      </c>
      <c r="AN56">
        <v>3448.5</v>
      </c>
      <c r="AO56">
        <v>0.10844626084462999</v>
      </c>
      <c r="AP56" t="s">
        <v>0</v>
      </c>
      <c r="AQ56" t="s">
        <v>264</v>
      </c>
      <c r="AR56">
        <v>30358</v>
      </c>
      <c r="AS56" t="s">
        <v>265</v>
      </c>
      <c r="AT56">
        <v>6</v>
      </c>
      <c r="AU56">
        <v>1</v>
      </c>
      <c r="AV56" t="s">
        <v>266</v>
      </c>
      <c r="AW56">
        <v>1</v>
      </c>
      <c r="AX56">
        <v>35</v>
      </c>
      <c r="AY56">
        <v>35</v>
      </c>
      <c r="AZ56" t="s">
        <v>289</v>
      </c>
      <c r="BC56">
        <v>5</v>
      </c>
      <c r="BE56">
        <v>5</v>
      </c>
      <c r="BG56">
        <v>0</v>
      </c>
      <c r="BH56">
        <v>100</v>
      </c>
      <c r="BI56">
        <v>0</v>
      </c>
      <c r="BK56">
        <v>51.201659999999997</v>
      </c>
      <c r="BL56">
        <v>25.131136000000001</v>
      </c>
      <c r="BM56">
        <v>26.070523999999999</v>
      </c>
      <c r="BN56">
        <v>2.4764841999999998</v>
      </c>
      <c r="BO56">
        <v>2.4764841999999998</v>
      </c>
      <c r="BP56">
        <v>0</v>
      </c>
      <c r="BQ56">
        <v>1.6023311</v>
      </c>
      <c r="BR56">
        <v>1.6263311</v>
      </c>
      <c r="BS56">
        <v>-2.4E-2</v>
      </c>
      <c r="BT56">
        <v>8.6886602999999996E-3</v>
      </c>
      <c r="BU56">
        <v>2.0917025000000001E-3</v>
      </c>
      <c r="BV56">
        <v>1.2318813000000001E-3</v>
      </c>
      <c r="BW56" s="2">
        <v>3.3591714999999999E-7</v>
      </c>
      <c r="BX56">
        <v>0</v>
      </c>
      <c r="BY56">
        <v>0</v>
      </c>
      <c r="BZ56">
        <v>6</v>
      </c>
      <c r="CA56">
        <v>563.21825999999999</v>
      </c>
      <c r="CB56">
        <v>276.44249600000001</v>
      </c>
      <c r="CC56">
        <v>286.77576399999998</v>
      </c>
      <c r="CD56">
        <v>27.2413262</v>
      </c>
      <c r="CE56">
        <v>27.2413262</v>
      </c>
      <c r="CF56">
        <v>0</v>
      </c>
      <c r="CG56">
        <v>17.757642100000002</v>
      </c>
      <c r="CH56">
        <v>17.8896421</v>
      </c>
      <c r="CI56">
        <v>-0.13200000000000001</v>
      </c>
      <c r="CJ56">
        <v>9.5575263300000005E-2</v>
      </c>
      <c r="CK56">
        <v>2.3008727499999999E-2</v>
      </c>
      <c r="CL56">
        <v>1.3550694300000001E-2</v>
      </c>
      <c r="CM56" s="2">
        <v>3.6950886500000001E-6</v>
      </c>
      <c r="CN56">
        <v>34.476917456667003</v>
      </c>
      <c r="CO56">
        <v>160.71530899845001</v>
      </c>
      <c r="CP56">
        <v>11.105257152076</v>
      </c>
      <c r="CQ56">
        <v>5.4507554599555004</v>
      </c>
      <c r="CR56">
        <v>5.6545016921202</v>
      </c>
      <c r="CS56">
        <v>0.53713090306158995</v>
      </c>
      <c r="CT56">
        <v>0.53713090306158995</v>
      </c>
      <c r="CU56">
        <v>0</v>
      </c>
      <c r="CV56">
        <v>0.35013634312038</v>
      </c>
      <c r="CW56">
        <v>0.35273905338065997</v>
      </c>
      <c r="CX56">
        <v>-2.6027102602709999E-3</v>
      </c>
      <c r="CY56">
        <v>1.8845054425683E-3</v>
      </c>
      <c r="CZ56">
        <v>4.5367462984871002E-4</v>
      </c>
      <c r="DA56">
        <v>2.6718584157882998E-4</v>
      </c>
      <c r="DB56" s="2">
        <v>7.2857917742167006E-8</v>
      </c>
    </row>
    <row r="57" spans="1:106" x14ac:dyDescent="0.25">
      <c r="A57">
        <v>25868</v>
      </c>
      <c r="B57" t="s">
        <v>284</v>
      </c>
      <c r="C57">
        <v>50</v>
      </c>
      <c r="D57" t="s">
        <v>261</v>
      </c>
      <c r="E57">
        <v>2</v>
      </c>
      <c r="F57" t="s">
        <v>167</v>
      </c>
      <c r="G57">
        <v>31799.16</v>
      </c>
      <c r="H57" t="s">
        <v>0</v>
      </c>
      <c r="I57">
        <v>4</v>
      </c>
      <c r="J57">
        <v>31799.16</v>
      </c>
      <c r="L57">
        <v>92117.401014000003</v>
      </c>
      <c r="O57">
        <v>796827</v>
      </c>
      <c r="P57" t="s">
        <v>37</v>
      </c>
      <c r="Q57">
        <v>114</v>
      </c>
      <c r="R57" t="s">
        <v>262</v>
      </c>
      <c r="S57" t="s">
        <v>263</v>
      </c>
      <c r="T57">
        <v>627</v>
      </c>
      <c r="W57" t="s">
        <v>16</v>
      </c>
      <c r="Y57">
        <v>0.2</v>
      </c>
      <c r="AF57" t="s">
        <v>29</v>
      </c>
      <c r="AG57" t="s">
        <v>30</v>
      </c>
      <c r="AH57" s="1">
        <v>1</v>
      </c>
      <c r="AI57">
        <v>0.2</v>
      </c>
      <c r="AJ57">
        <v>2325</v>
      </c>
      <c r="AK57">
        <v>465</v>
      </c>
      <c r="AM57">
        <v>465</v>
      </c>
      <c r="AN57">
        <v>291555</v>
      </c>
      <c r="AO57">
        <v>9.1686384168638</v>
      </c>
      <c r="AP57" t="s">
        <v>0</v>
      </c>
      <c r="AQ57" t="s">
        <v>264</v>
      </c>
      <c r="AR57">
        <v>30358</v>
      </c>
      <c r="AS57" t="s">
        <v>265</v>
      </c>
      <c r="AT57">
        <v>7</v>
      </c>
      <c r="AU57">
        <v>1</v>
      </c>
      <c r="AV57" t="s">
        <v>266</v>
      </c>
      <c r="AW57">
        <v>0</v>
      </c>
      <c r="AX57">
        <v>100</v>
      </c>
      <c r="AY57">
        <v>100</v>
      </c>
      <c r="AZ57" t="s">
        <v>267</v>
      </c>
      <c r="BK57">
        <v>1.5660049</v>
      </c>
      <c r="BL57">
        <v>1.5660049</v>
      </c>
      <c r="BM57">
        <v>0</v>
      </c>
      <c r="BN57">
        <v>4.7475960999999997E-2</v>
      </c>
      <c r="BO57">
        <v>4.7475960999999997E-2</v>
      </c>
      <c r="BP57">
        <v>0</v>
      </c>
      <c r="BQ57">
        <v>0.15291231999999999</v>
      </c>
      <c r="BR57">
        <v>0.15291231999999999</v>
      </c>
      <c r="BS57">
        <v>0</v>
      </c>
      <c r="BT57">
        <v>3.9132148000000001E-4</v>
      </c>
      <c r="BU57">
        <v>2.4656103E-4</v>
      </c>
      <c r="BV57" s="2">
        <v>7.7190705E-5</v>
      </c>
      <c r="BW57" s="2">
        <v>4.5130751999999996E-9</v>
      </c>
      <c r="BX57">
        <v>0</v>
      </c>
      <c r="BY57">
        <v>0</v>
      </c>
      <c r="BZ57">
        <v>6</v>
      </c>
      <c r="CA57">
        <v>728.19227850000004</v>
      </c>
      <c r="CB57">
        <v>728.19227850000004</v>
      </c>
      <c r="CC57">
        <v>0</v>
      </c>
      <c r="CD57">
        <v>22.076321865000001</v>
      </c>
      <c r="CE57">
        <v>22.076321865000001</v>
      </c>
      <c r="CF57">
        <v>0</v>
      </c>
      <c r="CG57">
        <v>71.104228800000001</v>
      </c>
      <c r="CH57">
        <v>71.104228800000001</v>
      </c>
      <c r="CI57">
        <v>0</v>
      </c>
      <c r="CJ57">
        <v>0.1819644882</v>
      </c>
      <c r="CK57">
        <v>0.11465087894999999</v>
      </c>
      <c r="CL57">
        <v>3.5893677824999998E-2</v>
      </c>
      <c r="CM57" s="2">
        <v>2.0985799679999999E-6</v>
      </c>
      <c r="CN57">
        <v>60.385712509999998</v>
      </c>
      <c r="CO57">
        <v>160.71530899845001</v>
      </c>
      <c r="CP57">
        <v>14.358132687136999</v>
      </c>
      <c r="CQ57">
        <v>14.358132687136999</v>
      </c>
      <c r="CR57">
        <v>0</v>
      </c>
      <c r="CS57">
        <v>0.43528991990213001</v>
      </c>
      <c r="CT57">
        <v>0.43528991990213001</v>
      </c>
      <c r="CU57">
        <v>0</v>
      </c>
      <c r="CV57">
        <v>1.4019977715637999</v>
      </c>
      <c r="CW57">
        <v>1.4019977715637999</v>
      </c>
      <c r="CX57">
        <v>0</v>
      </c>
      <c r="CY57">
        <v>3.5878851548720001E-3</v>
      </c>
      <c r="CZ57">
        <v>2.2606289317595001E-3</v>
      </c>
      <c r="DA57">
        <v>7.0773366328780001E-4</v>
      </c>
      <c r="DB57" s="2">
        <v>4.1378754656915003E-8</v>
      </c>
    </row>
    <row r="58" spans="1:106" x14ac:dyDescent="0.25">
      <c r="A58">
        <v>25868</v>
      </c>
      <c r="B58" t="s">
        <v>284</v>
      </c>
      <c r="C58">
        <v>50</v>
      </c>
      <c r="D58" t="s">
        <v>261</v>
      </c>
      <c r="E58">
        <v>2</v>
      </c>
      <c r="F58" t="s">
        <v>167</v>
      </c>
      <c r="G58">
        <v>31799.16</v>
      </c>
      <c r="H58" t="s">
        <v>0</v>
      </c>
      <c r="I58">
        <v>4</v>
      </c>
      <c r="J58">
        <v>31799.16</v>
      </c>
      <c r="L58">
        <v>92117.401014000003</v>
      </c>
      <c r="O58">
        <v>796827</v>
      </c>
      <c r="P58" t="s">
        <v>37</v>
      </c>
      <c r="Q58">
        <v>114</v>
      </c>
      <c r="R58" t="s">
        <v>262</v>
      </c>
      <c r="S58" t="s">
        <v>263</v>
      </c>
      <c r="T58">
        <v>627</v>
      </c>
      <c r="W58" t="s">
        <v>15</v>
      </c>
      <c r="Y58">
        <v>1E-3</v>
      </c>
      <c r="AF58" t="s">
        <v>29</v>
      </c>
      <c r="AG58" t="s">
        <v>30</v>
      </c>
      <c r="AH58" s="1">
        <v>1</v>
      </c>
      <c r="AI58">
        <v>1E-3</v>
      </c>
      <c r="AJ58">
        <v>1000</v>
      </c>
      <c r="AK58">
        <v>1</v>
      </c>
      <c r="AM58">
        <v>1</v>
      </c>
      <c r="AN58">
        <v>627</v>
      </c>
      <c r="AO58">
        <v>1.9717501971749998E-2</v>
      </c>
      <c r="AP58" t="s">
        <v>0</v>
      </c>
      <c r="AQ58" t="s">
        <v>264</v>
      </c>
      <c r="AR58">
        <v>30358</v>
      </c>
      <c r="AS58" t="s">
        <v>265</v>
      </c>
      <c r="AT58">
        <v>8</v>
      </c>
      <c r="AU58">
        <v>1</v>
      </c>
      <c r="AV58" t="s">
        <v>266</v>
      </c>
      <c r="AW58">
        <v>0</v>
      </c>
      <c r="AX58">
        <v>50</v>
      </c>
      <c r="AY58">
        <v>50</v>
      </c>
      <c r="AZ58" t="s">
        <v>285</v>
      </c>
      <c r="BC58">
        <v>4</v>
      </c>
      <c r="BE58">
        <v>5</v>
      </c>
      <c r="BG58">
        <v>100</v>
      </c>
      <c r="BH58">
        <v>0</v>
      </c>
      <c r="BI58">
        <v>0</v>
      </c>
      <c r="BK58">
        <v>3.0673550000000001</v>
      </c>
      <c r="BL58">
        <v>3.0673550000000001</v>
      </c>
      <c r="BM58">
        <v>0</v>
      </c>
      <c r="BN58">
        <v>0.19348889999999999</v>
      </c>
      <c r="BO58">
        <v>0.19348889999999999</v>
      </c>
      <c r="BP58">
        <v>0</v>
      </c>
      <c r="BQ58">
        <v>0.15785514</v>
      </c>
      <c r="BR58">
        <v>0.16285514000000001</v>
      </c>
      <c r="BS58">
        <v>-5.0000000000000001E-3</v>
      </c>
      <c r="BT58">
        <v>6.0359172000000005E-4</v>
      </c>
      <c r="BU58">
        <v>2.7267961000000001E-4</v>
      </c>
      <c r="BV58" s="2">
        <v>5.5086983000000003E-5</v>
      </c>
      <c r="BW58" s="2">
        <v>1.6862043E-8</v>
      </c>
      <c r="BX58">
        <v>0</v>
      </c>
      <c r="BY58">
        <v>0</v>
      </c>
      <c r="BZ58">
        <v>6</v>
      </c>
      <c r="CA58">
        <v>3.0673550000000001</v>
      </c>
      <c r="CB58">
        <v>3.0673550000000001</v>
      </c>
      <c r="CC58">
        <v>0</v>
      </c>
      <c r="CD58">
        <v>0.19348889999999999</v>
      </c>
      <c r="CE58">
        <v>0.19348889999999999</v>
      </c>
      <c r="CF58">
        <v>0</v>
      </c>
      <c r="CG58">
        <v>0.15785514</v>
      </c>
      <c r="CH58">
        <v>0.16285514000000001</v>
      </c>
      <c r="CI58">
        <v>-5.0000000000000001E-3</v>
      </c>
      <c r="CJ58">
        <v>6.0359172000000005E-4</v>
      </c>
      <c r="CK58">
        <v>2.7267961000000001E-4</v>
      </c>
      <c r="CL58" s="2">
        <v>5.5086983000000003E-5</v>
      </c>
      <c r="CM58" s="2">
        <v>1.6862043E-8</v>
      </c>
      <c r="CN58">
        <v>0.20903325266667</v>
      </c>
      <c r="CO58">
        <v>160.71530899845001</v>
      </c>
      <c r="CP58">
        <v>6.0480578260557999E-2</v>
      </c>
      <c r="CQ58">
        <v>6.0480578260557999E-2</v>
      </c>
      <c r="CR58">
        <v>0</v>
      </c>
      <c r="CS58">
        <v>3.8151177672617999E-3</v>
      </c>
      <c r="CT58">
        <v>3.8151177672617999E-3</v>
      </c>
      <c r="CU58">
        <v>0</v>
      </c>
      <c r="CV58">
        <v>3.1125090342009002E-3</v>
      </c>
      <c r="CW58">
        <v>3.2110965440597002E-3</v>
      </c>
      <c r="CX58" s="2">
        <v>-9.8587509858751E-5</v>
      </c>
      <c r="CY58" s="2">
        <v>1.1901320929232E-5</v>
      </c>
      <c r="CZ58" s="2">
        <v>5.3765607478310998E-6</v>
      </c>
      <c r="DA58" s="2">
        <v>1.0861776959203E-6</v>
      </c>
      <c r="DB58" s="2">
        <v>3.3247736610023999E-10</v>
      </c>
    </row>
    <row r="59" spans="1:106" x14ac:dyDescent="0.25">
      <c r="A59">
        <v>25868</v>
      </c>
      <c r="B59" t="s">
        <v>284</v>
      </c>
      <c r="C59">
        <v>50</v>
      </c>
      <c r="D59" t="s">
        <v>261</v>
      </c>
      <c r="E59">
        <v>2</v>
      </c>
      <c r="F59" t="s">
        <v>167</v>
      </c>
      <c r="G59">
        <v>31799.16</v>
      </c>
      <c r="H59" t="s">
        <v>0</v>
      </c>
      <c r="I59">
        <v>4</v>
      </c>
      <c r="J59">
        <v>31799.16</v>
      </c>
      <c r="L59">
        <v>92117.401014000003</v>
      </c>
      <c r="O59">
        <v>796827</v>
      </c>
      <c r="P59" t="s">
        <v>37</v>
      </c>
      <c r="Q59">
        <v>114</v>
      </c>
      <c r="R59" t="s">
        <v>262</v>
      </c>
      <c r="S59" t="s">
        <v>263</v>
      </c>
      <c r="T59">
        <v>627</v>
      </c>
      <c r="V59">
        <v>2142685464</v>
      </c>
      <c r="W59" t="s">
        <v>14</v>
      </c>
      <c r="Y59">
        <v>2E-3</v>
      </c>
      <c r="AF59" t="s">
        <v>29</v>
      </c>
      <c r="AG59" t="s">
        <v>30</v>
      </c>
      <c r="AH59" s="1">
        <v>1</v>
      </c>
      <c r="AI59">
        <v>2E-3</v>
      </c>
      <c r="AJ59">
        <v>1300</v>
      </c>
      <c r="AK59">
        <v>2.6</v>
      </c>
      <c r="AM59">
        <v>2.6</v>
      </c>
      <c r="AN59">
        <v>1630.2</v>
      </c>
      <c r="AO59">
        <v>5.1265505126551002E-2</v>
      </c>
      <c r="AP59" t="s">
        <v>0</v>
      </c>
      <c r="AQ59" t="s">
        <v>264</v>
      </c>
      <c r="AR59">
        <v>30358</v>
      </c>
      <c r="AS59" t="s">
        <v>265</v>
      </c>
      <c r="AT59">
        <v>9</v>
      </c>
      <c r="AU59">
        <v>1</v>
      </c>
      <c r="AV59" t="s">
        <v>266</v>
      </c>
      <c r="AW59">
        <v>1</v>
      </c>
      <c r="AX59">
        <v>35</v>
      </c>
      <c r="AY59">
        <v>35</v>
      </c>
      <c r="AZ59" t="s">
        <v>287</v>
      </c>
      <c r="BC59">
        <v>2</v>
      </c>
      <c r="BE59">
        <v>3</v>
      </c>
      <c r="BG59">
        <v>100</v>
      </c>
      <c r="BH59">
        <v>0</v>
      </c>
      <c r="BI59">
        <v>0</v>
      </c>
      <c r="BK59">
        <v>2.0832495</v>
      </c>
      <c r="BL59">
        <v>2.0832495</v>
      </c>
      <c r="BM59">
        <v>0</v>
      </c>
      <c r="BN59">
        <v>0.32445808999999998</v>
      </c>
      <c r="BO59">
        <v>0.32445808999999998</v>
      </c>
      <c r="BP59">
        <v>0</v>
      </c>
      <c r="BQ59">
        <v>0.17529323999999999</v>
      </c>
      <c r="BR59">
        <v>0.17729323999999999</v>
      </c>
      <c r="BS59">
        <v>-2E-3</v>
      </c>
      <c r="BT59">
        <v>4.9332165000000002E-4</v>
      </c>
      <c r="BU59">
        <v>2.038571E-4</v>
      </c>
      <c r="BV59" s="2">
        <v>6.4315664999999996E-5</v>
      </c>
      <c r="BW59" s="2">
        <v>1.4918986000000002E-8</v>
      </c>
      <c r="BX59">
        <v>0</v>
      </c>
      <c r="BY59">
        <v>0</v>
      </c>
      <c r="BZ59">
        <v>6</v>
      </c>
      <c r="CA59">
        <v>10.8328974</v>
      </c>
      <c r="CB59">
        <v>10.8328974</v>
      </c>
      <c r="CC59">
        <v>0</v>
      </c>
      <c r="CD59">
        <v>1.687182068</v>
      </c>
      <c r="CE59">
        <v>1.687182068</v>
      </c>
      <c r="CF59">
        <v>0</v>
      </c>
      <c r="CG59">
        <v>0.91672484799999998</v>
      </c>
      <c r="CH59">
        <v>0.92192484799999996</v>
      </c>
      <c r="CI59">
        <v>-5.1999999999999998E-3</v>
      </c>
      <c r="CJ59">
        <v>2.5652725799999998E-3</v>
      </c>
      <c r="CK59">
        <v>1.06005692E-3</v>
      </c>
      <c r="CL59">
        <v>3.34441458E-4</v>
      </c>
      <c r="CM59" s="2">
        <v>7.7578727200000002E-8</v>
      </c>
      <c r="CN59">
        <v>0.85592039866667002</v>
      </c>
      <c r="CO59">
        <v>160.71530899845001</v>
      </c>
      <c r="CP59">
        <v>0.21359767584427</v>
      </c>
      <c r="CQ59">
        <v>0.21359767584427</v>
      </c>
      <c r="CR59">
        <v>0</v>
      </c>
      <c r="CS59">
        <v>3.3267015752492003E-2</v>
      </c>
      <c r="CT59">
        <v>3.3267015752492003E-2</v>
      </c>
      <c r="CU59">
        <v>0</v>
      </c>
      <c r="CV59">
        <v>1.8075523997992001E-2</v>
      </c>
      <c r="CW59">
        <v>1.8178055008246E-2</v>
      </c>
      <c r="CX59">
        <v>-1.025310102531E-4</v>
      </c>
      <c r="CY59" s="2">
        <v>5.0580767154226998E-5</v>
      </c>
      <c r="CZ59" s="2">
        <v>2.0901674410267E-5</v>
      </c>
      <c r="DA59" s="2">
        <v>6.59435010755E-6</v>
      </c>
      <c r="DB59" s="2">
        <v>1.5296587065319E-9</v>
      </c>
    </row>
    <row r="60" spans="1:106" x14ac:dyDescent="0.25">
      <c r="A60">
        <v>25868</v>
      </c>
      <c r="B60" t="s">
        <v>284</v>
      </c>
      <c r="C60">
        <v>50</v>
      </c>
      <c r="D60" t="s">
        <v>261</v>
      </c>
      <c r="E60">
        <v>2</v>
      </c>
      <c r="F60" t="s">
        <v>167</v>
      </c>
      <c r="G60">
        <v>31799.16</v>
      </c>
      <c r="H60" t="s">
        <v>0</v>
      </c>
      <c r="I60">
        <v>4</v>
      </c>
      <c r="J60">
        <v>31799.16</v>
      </c>
      <c r="L60">
        <v>92117.401014000003</v>
      </c>
      <c r="O60">
        <v>796833</v>
      </c>
      <c r="P60" t="s">
        <v>39</v>
      </c>
      <c r="Q60">
        <v>114</v>
      </c>
      <c r="R60" t="s">
        <v>262</v>
      </c>
      <c r="S60" t="s">
        <v>263</v>
      </c>
      <c r="T60">
        <v>1266.6099999999999</v>
      </c>
      <c r="W60" t="s">
        <v>40</v>
      </c>
      <c r="Y60">
        <v>9.5000000000000001E-2</v>
      </c>
      <c r="AF60" t="s">
        <v>29</v>
      </c>
      <c r="AG60" t="s">
        <v>30</v>
      </c>
      <c r="AH60" s="1">
        <v>1</v>
      </c>
      <c r="AI60">
        <v>9.5000000000000001E-2</v>
      </c>
      <c r="AJ60">
        <v>1700</v>
      </c>
      <c r="AK60">
        <v>161.5</v>
      </c>
      <c r="AM60">
        <v>161.5</v>
      </c>
      <c r="AN60">
        <v>204557.51500000001</v>
      </c>
      <c r="AO60">
        <v>6.4327961807795999</v>
      </c>
      <c r="AP60" t="s">
        <v>0</v>
      </c>
      <c r="AQ60" t="s">
        <v>264</v>
      </c>
      <c r="AR60">
        <v>30358</v>
      </c>
      <c r="AS60" t="s">
        <v>265</v>
      </c>
      <c r="AT60">
        <v>1</v>
      </c>
      <c r="AU60">
        <v>1</v>
      </c>
      <c r="AV60" t="s">
        <v>266</v>
      </c>
      <c r="AW60">
        <v>0</v>
      </c>
      <c r="AX60">
        <v>50</v>
      </c>
      <c r="AY60">
        <v>50</v>
      </c>
      <c r="AZ60" t="s">
        <v>285</v>
      </c>
      <c r="BC60">
        <v>2</v>
      </c>
      <c r="BE60">
        <v>1</v>
      </c>
      <c r="BG60">
        <v>100</v>
      </c>
      <c r="BH60">
        <v>0</v>
      </c>
      <c r="BI60">
        <v>0</v>
      </c>
      <c r="BK60">
        <v>0.30813686000000001</v>
      </c>
      <c r="BL60">
        <v>0.30813686000000001</v>
      </c>
      <c r="BM60">
        <v>0</v>
      </c>
      <c r="BN60">
        <v>3.1284692000000001E-3</v>
      </c>
      <c r="BO60">
        <v>3.1284692000000001E-3</v>
      </c>
      <c r="BP60">
        <v>0</v>
      </c>
      <c r="BQ60">
        <v>2.1635005999999998E-2</v>
      </c>
      <c r="BR60">
        <v>2.1635005999999998E-2</v>
      </c>
      <c r="BS60">
        <v>0</v>
      </c>
      <c r="BT60" s="2">
        <v>6.8032023000000005E-5</v>
      </c>
      <c r="BU60" s="2">
        <v>1.4694027000000001E-5</v>
      </c>
      <c r="BV60" s="2">
        <v>6.8277962999999998E-6</v>
      </c>
      <c r="BW60" s="2">
        <v>2.5662176999999999E-9</v>
      </c>
      <c r="BX60">
        <v>0</v>
      </c>
      <c r="BY60">
        <v>0</v>
      </c>
      <c r="BZ60">
        <v>6</v>
      </c>
      <c r="CA60">
        <v>49.764102889999997</v>
      </c>
      <c r="CB60">
        <v>49.764102889999997</v>
      </c>
      <c r="CC60">
        <v>0</v>
      </c>
      <c r="CD60">
        <v>0.50524777580000002</v>
      </c>
      <c r="CE60">
        <v>0.50524777580000002</v>
      </c>
      <c r="CF60">
        <v>0</v>
      </c>
      <c r="CG60">
        <v>3.4940534689999998</v>
      </c>
      <c r="CH60">
        <v>3.4940534689999998</v>
      </c>
      <c r="CI60">
        <v>0</v>
      </c>
      <c r="CJ60">
        <v>1.09871717145E-2</v>
      </c>
      <c r="CK60">
        <v>2.3730853605000001E-3</v>
      </c>
      <c r="CL60">
        <v>1.1026891024500001E-3</v>
      </c>
      <c r="CM60" s="2">
        <v>4.1444415854999998E-7</v>
      </c>
      <c r="CN60">
        <v>3.7061019031</v>
      </c>
      <c r="CO60">
        <v>112.79012359133</v>
      </c>
      <c r="CP60">
        <v>1.9821816161654</v>
      </c>
      <c r="CQ60">
        <v>1.9821816161654</v>
      </c>
      <c r="CR60">
        <v>0</v>
      </c>
      <c r="CS60">
        <v>2.0124804721446999E-2</v>
      </c>
      <c r="CT60">
        <v>2.0124804721446999E-2</v>
      </c>
      <c r="CU60">
        <v>0</v>
      </c>
      <c r="CV60">
        <v>0.13917358396794</v>
      </c>
      <c r="CW60">
        <v>0.13917358396794</v>
      </c>
      <c r="CX60">
        <v>0</v>
      </c>
      <c r="CY60">
        <v>4.3763613772511E-4</v>
      </c>
      <c r="CZ60" s="2">
        <v>9.4523680765872998E-5</v>
      </c>
      <c r="DA60" s="2">
        <v>4.3921821961781003E-5</v>
      </c>
      <c r="DB60" s="2">
        <v>1.6507955419608998E-8</v>
      </c>
    </row>
    <row r="61" spans="1:106" x14ac:dyDescent="0.25">
      <c r="A61">
        <v>25868</v>
      </c>
      <c r="B61" t="s">
        <v>284</v>
      </c>
      <c r="C61">
        <v>50</v>
      </c>
      <c r="D61" t="s">
        <v>261</v>
      </c>
      <c r="E61">
        <v>2</v>
      </c>
      <c r="F61" t="s">
        <v>167</v>
      </c>
      <c r="G61">
        <v>31799.16</v>
      </c>
      <c r="H61" t="s">
        <v>0</v>
      </c>
      <c r="I61">
        <v>4</v>
      </c>
      <c r="J61">
        <v>31799.16</v>
      </c>
      <c r="L61">
        <v>92117.401014000003</v>
      </c>
      <c r="O61">
        <v>796833</v>
      </c>
      <c r="P61" t="s">
        <v>39</v>
      </c>
      <c r="Q61">
        <v>114</v>
      </c>
      <c r="R61" t="s">
        <v>262</v>
      </c>
      <c r="S61" t="s">
        <v>263</v>
      </c>
      <c r="T61">
        <v>1266.6099999999999</v>
      </c>
      <c r="W61" t="s">
        <v>32</v>
      </c>
      <c r="Y61">
        <v>5.0000000000000001E-3</v>
      </c>
      <c r="AF61" t="s">
        <v>29</v>
      </c>
      <c r="AG61" t="s">
        <v>30</v>
      </c>
      <c r="AH61" s="1">
        <v>1</v>
      </c>
      <c r="AI61">
        <v>5.0000000000000001E-3</v>
      </c>
      <c r="AJ61">
        <v>300</v>
      </c>
      <c r="AK61">
        <v>1.5</v>
      </c>
      <c r="AM61">
        <v>1.5</v>
      </c>
      <c r="AN61">
        <v>1899.915</v>
      </c>
      <c r="AO61">
        <v>5.9747332948417997E-2</v>
      </c>
      <c r="AP61" t="s">
        <v>0</v>
      </c>
      <c r="AQ61" t="s">
        <v>264</v>
      </c>
      <c r="AR61">
        <v>30358</v>
      </c>
      <c r="AS61" t="s">
        <v>265</v>
      </c>
      <c r="AT61">
        <v>2</v>
      </c>
      <c r="AU61">
        <v>1</v>
      </c>
      <c r="AV61" t="s">
        <v>266</v>
      </c>
      <c r="AW61">
        <v>1</v>
      </c>
      <c r="AX61">
        <v>25</v>
      </c>
      <c r="AY61">
        <v>25</v>
      </c>
      <c r="AZ61" t="s">
        <v>286</v>
      </c>
      <c r="BC61">
        <v>3</v>
      </c>
      <c r="BE61">
        <v>3</v>
      </c>
      <c r="BG61">
        <v>0</v>
      </c>
      <c r="BH61">
        <v>100</v>
      </c>
      <c r="BI61">
        <v>0</v>
      </c>
      <c r="BK61">
        <v>85.988403000000005</v>
      </c>
      <c r="BL61">
        <v>43.518402999999999</v>
      </c>
      <c r="BM61">
        <v>42.47</v>
      </c>
      <c r="BN61">
        <v>1.3022769000000001</v>
      </c>
      <c r="BO61">
        <v>1.3022769000000001</v>
      </c>
      <c r="BP61">
        <v>0</v>
      </c>
      <c r="BQ61">
        <v>2.8430924000000002</v>
      </c>
      <c r="BR61">
        <v>2.8640924000000001</v>
      </c>
      <c r="BS61">
        <v>-2.1000000000000001E-2</v>
      </c>
      <c r="BT61">
        <v>8.3217996000000006E-3</v>
      </c>
      <c r="BU61">
        <v>1.6064606999999999E-3</v>
      </c>
      <c r="BV61">
        <v>2.4785428000000001E-3</v>
      </c>
      <c r="BW61" s="2">
        <v>3.9116873999999998E-8</v>
      </c>
      <c r="BX61">
        <v>0</v>
      </c>
      <c r="BY61">
        <v>0</v>
      </c>
      <c r="BZ61">
        <v>6</v>
      </c>
      <c r="CA61">
        <v>257.96520900000002</v>
      </c>
      <c r="CB61">
        <v>130.55520899999999</v>
      </c>
      <c r="CC61">
        <v>127.41</v>
      </c>
      <c r="CD61">
        <v>3.9068307</v>
      </c>
      <c r="CE61">
        <v>3.9068307</v>
      </c>
      <c r="CF61">
        <v>0</v>
      </c>
      <c r="CG61">
        <v>8.5607772000000004</v>
      </c>
      <c r="CH61">
        <v>8.5922771999999998</v>
      </c>
      <c r="CI61">
        <v>-3.15E-2</v>
      </c>
      <c r="CJ61">
        <v>2.49653988E-2</v>
      </c>
      <c r="CK61">
        <v>4.8193821000000001E-3</v>
      </c>
      <c r="CL61">
        <v>7.4356283999999998E-3</v>
      </c>
      <c r="CM61" s="2">
        <v>1.17350622E-7</v>
      </c>
      <c r="CN61">
        <v>13.354356340000001</v>
      </c>
      <c r="CO61">
        <v>112.79012359133</v>
      </c>
      <c r="CP61">
        <v>10.275155487487</v>
      </c>
      <c r="CQ61">
        <v>5.2002170268487999</v>
      </c>
      <c r="CR61">
        <v>5.0749384606385997</v>
      </c>
      <c r="CS61">
        <v>0.15561514307067001</v>
      </c>
      <c r="CT61">
        <v>0.15561514307067001</v>
      </c>
      <c r="CU61">
        <v>0</v>
      </c>
      <c r="CV61">
        <v>0.34098907044374999</v>
      </c>
      <c r="CW61">
        <v>0.34224376443566001</v>
      </c>
      <c r="CX61">
        <v>-1.2546939919168001E-3</v>
      </c>
      <c r="CY61">
        <v>9.9441066286241994E-4</v>
      </c>
      <c r="CZ61">
        <v>1.9196348462289999E-4</v>
      </c>
      <c r="DA61">
        <v>2.9617264379700999E-4</v>
      </c>
      <c r="DB61" s="2">
        <v>4.6742577895585997E-9</v>
      </c>
    </row>
    <row r="62" spans="1:106" x14ac:dyDescent="0.25">
      <c r="A62">
        <v>25868</v>
      </c>
      <c r="B62" t="s">
        <v>284</v>
      </c>
      <c r="C62">
        <v>50</v>
      </c>
      <c r="D62" t="s">
        <v>261</v>
      </c>
      <c r="E62">
        <v>2</v>
      </c>
      <c r="F62" t="s">
        <v>167</v>
      </c>
      <c r="G62">
        <v>31799.16</v>
      </c>
      <c r="H62" t="s">
        <v>0</v>
      </c>
      <c r="I62">
        <v>4</v>
      </c>
      <c r="J62">
        <v>31799.16</v>
      </c>
      <c r="L62">
        <v>92117.401014000003</v>
      </c>
      <c r="O62">
        <v>796833</v>
      </c>
      <c r="P62" t="s">
        <v>39</v>
      </c>
      <c r="Q62">
        <v>114</v>
      </c>
      <c r="R62" t="s">
        <v>262</v>
      </c>
      <c r="S62" t="s">
        <v>263</v>
      </c>
      <c r="T62">
        <v>1266.6099999999999</v>
      </c>
      <c r="W62" t="s">
        <v>41</v>
      </c>
      <c r="Y62">
        <v>4.0000000000000001E-3</v>
      </c>
      <c r="AF62" t="s">
        <v>29</v>
      </c>
      <c r="AG62" t="s">
        <v>30</v>
      </c>
      <c r="AH62" s="1">
        <v>1</v>
      </c>
      <c r="AI62">
        <v>4.0000000000000001E-3</v>
      </c>
      <c r="AJ62">
        <v>45</v>
      </c>
      <c r="AK62">
        <v>0.18</v>
      </c>
      <c r="AM62">
        <v>0.18</v>
      </c>
      <c r="AN62">
        <v>227.9898</v>
      </c>
      <c r="AO62">
        <v>7.1696799538101003E-3</v>
      </c>
      <c r="AP62" t="s">
        <v>0</v>
      </c>
      <c r="AQ62" t="s">
        <v>264</v>
      </c>
      <c r="AR62">
        <v>30358</v>
      </c>
      <c r="AS62" t="s">
        <v>265</v>
      </c>
      <c r="AT62">
        <v>3</v>
      </c>
      <c r="AU62">
        <v>1</v>
      </c>
      <c r="AV62" t="s">
        <v>266</v>
      </c>
      <c r="AW62">
        <v>1</v>
      </c>
      <c r="AX62">
        <v>25</v>
      </c>
      <c r="AY62">
        <v>25</v>
      </c>
      <c r="AZ62" t="s">
        <v>286</v>
      </c>
      <c r="BC62">
        <v>3</v>
      </c>
      <c r="BE62">
        <v>3</v>
      </c>
      <c r="BG62">
        <v>0</v>
      </c>
      <c r="BH62">
        <v>100</v>
      </c>
      <c r="BI62">
        <v>0</v>
      </c>
      <c r="BK62">
        <v>98.257606999999993</v>
      </c>
      <c r="BL62">
        <v>75.307607000000004</v>
      </c>
      <c r="BM62">
        <v>22.95</v>
      </c>
      <c r="BN62">
        <v>5.7083662999999998</v>
      </c>
      <c r="BO62">
        <v>5.7083662999999998</v>
      </c>
      <c r="BP62">
        <v>0</v>
      </c>
      <c r="BQ62">
        <v>5.5952704000000004</v>
      </c>
      <c r="BR62">
        <v>5.6032704000000004</v>
      </c>
      <c r="BS62">
        <v>-8.0000000000000002E-3</v>
      </c>
      <c r="BT62">
        <v>2.3853676000000001E-2</v>
      </c>
      <c r="BU62">
        <v>1.510738E-2</v>
      </c>
      <c r="BV62">
        <v>1.3843524000000001E-3</v>
      </c>
      <c r="BW62" s="2">
        <v>3.6442894000000001E-7</v>
      </c>
      <c r="BX62">
        <v>0</v>
      </c>
      <c r="BY62">
        <v>0</v>
      </c>
      <c r="BZ62">
        <v>6</v>
      </c>
      <c r="CA62">
        <v>35.372738519999999</v>
      </c>
      <c r="CB62">
        <v>27.110738520000002</v>
      </c>
      <c r="CC62">
        <v>8.2620000000000005</v>
      </c>
      <c r="CD62">
        <v>2.0550118679999998</v>
      </c>
      <c r="CE62">
        <v>2.0550118679999998</v>
      </c>
      <c r="CF62">
        <v>0</v>
      </c>
      <c r="CG62">
        <v>2.0157373440000002</v>
      </c>
      <c r="CH62">
        <v>2.0171773439999998</v>
      </c>
      <c r="CI62">
        <v>-1.4400000000000001E-3</v>
      </c>
      <c r="CJ62">
        <v>8.5873233599999994E-3</v>
      </c>
      <c r="CK62">
        <v>5.4386568000000003E-3</v>
      </c>
      <c r="CL62">
        <v>4.98366864E-4</v>
      </c>
      <c r="CM62" s="2">
        <v>1.3119441839999999E-7</v>
      </c>
      <c r="CN62">
        <v>2.6600239559999999</v>
      </c>
      <c r="CO62">
        <v>112.79012359133</v>
      </c>
      <c r="CP62">
        <v>1.4089511904345</v>
      </c>
      <c r="CQ62">
        <v>1.0798628805546</v>
      </c>
      <c r="CR62">
        <v>0.32908830987988003</v>
      </c>
      <c r="CS62">
        <v>8.1854318860229994E-2</v>
      </c>
      <c r="CT62">
        <v>8.1854318860229994E-2</v>
      </c>
      <c r="CU62">
        <v>0</v>
      </c>
      <c r="CV62">
        <v>8.0289953485685003E-2</v>
      </c>
      <c r="CW62">
        <v>8.0347310925314996E-2</v>
      </c>
      <c r="CX62" s="2">
        <v>-5.7357439630480999E-5</v>
      </c>
      <c r="CY62">
        <v>3.4204644528375999E-4</v>
      </c>
      <c r="CZ62">
        <v>2.1663015908118E-4</v>
      </c>
      <c r="DA62" s="2">
        <v>1.9850727302578001E-5</v>
      </c>
      <c r="DB62" s="2">
        <v>5.2256777314125003E-9</v>
      </c>
    </row>
    <row r="63" spans="1:106" x14ac:dyDescent="0.25">
      <c r="A63">
        <v>25868</v>
      </c>
      <c r="B63" t="s">
        <v>284</v>
      </c>
      <c r="C63">
        <v>50</v>
      </c>
      <c r="D63" t="s">
        <v>261</v>
      </c>
      <c r="E63">
        <v>2</v>
      </c>
      <c r="F63" t="s">
        <v>167</v>
      </c>
      <c r="G63">
        <v>31799.16</v>
      </c>
      <c r="H63" t="s">
        <v>0</v>
      </c>
      <c r="I63">
        <v>4</v>
      </c>
      <c r="J63">
        <v>31799.16</v>
      </c>
      <c r="L63">
        <v>92117.401014000003</v>
      </c>
      <c r="O63">
        <v>796833</v>
      </c>
      <c r="P63" t="s">
        <v>39</v>
      </c>
      <c r="Q63">
        <v>114</v>
      </c>
      <c r="R63" t="s">
        <v>262</v>
      </c>
      <c r="S63" t="s">
        <v>263</v>
      </c>
      <c r="T63">
        <v>1266.6099999999999</v>
      </c>
      <c r="W63" t="s">
        <v>33</v>
      </c>
      <c r="Y63">
        <v>0.01</v>
      </c>
      <c r="AF63" t="s">
        <v>29</v>
      </c>
      <c r="AG63" t="s">
        <v>30</v>
      </c>
      <c r="AH63" s="1">
        <v>1</v>
      </c>
      <c r="AI63">
        <v>0.01</v>
      </c>
      <c r="AJ63">
        <v>1100</v>
      </c>
      <c r="AK63">
        <v>11</v>
      </c>
      <c r="AM63">
        <v>11</v>
      </c>
      <c r="AN63">
        <v>13932.71</v>
      </c>
      <c r="AO63">
        <v>0.43814710828839998</v>
      </c>
      <c r="AP63" t="s">
        <v>0</v>
      </c>
      <c r="AQ63" t="s">
        <v>264</v>
      </c>
      <c r="AR63">
        <v>30358</v>
      </c>
      <c r="AS63" t="s">
        <v>265</v>
      </c>
      <c r="AT63">
        <v>4</v>
      </c>
      <c r="AU63">
        <v>1</v>
      </c>
      <c r="AV63" t="s">
        <v>266</v>
      </c>
      <c r="AW63">
        <v>1</v>
      </c>
      <c r="AX63">
        <v>25</v>
      </c>
      <c r="AY63">
        <v>25</v>
      </c>
      <c r="AZ63" t="s">
        <v>286</v>
      </c>
      <c r="BC63">
        <v>3</v>
      </c>
      <c r="BE63">
        <v>5</v>
      </c>
      <c r="BG63">
        <v>0</v>
      </c>
      <c r="BH63">
        <v>100</v>
      </c>
      <c r="BI63">
        <v>0</v>
      </c>
      <c r="BK63">
        <v>41.596041</v>
      </c>
      <c r="BL63">
        <v>17.239440999999999</v>
      </c>
      <c r="BM63">
        <v>24.3566</v>
      </c>
      <c r="BN63">
        <v>0.66435392999999998</v>
      </c>
      <c r="BO63">
        <v>0.66435392999999998</v>
      </c>
      <c r="BP63">
        <v>0</v>
      </c>
      <c r="BQ63">
        <v>0.82198998999999995</v>
      </c>
      <c r="BR63">
        <v>0.82398998999999995</v>
      </c>
      <c r="BS63">
        <v>-2E-3</v>
      </c>
      <c r="BT63">
        <v>5.5642143999999998E-3</v>
      </c>
      <c r="BU63">
        <v>1.8152159999999999E-3</v>
      </c>
      <c r="BV63">
        <v>1.1380679000000001E-3</v>
      </c>
      <c r="BW63" s="2">
        <v>3.1630835E-7</v>
      </c>
      <c r="BX63">
        <v>1</v>
      </c>
      <c r="BY63">
        <v>0</v>
      </c>
      <c r="BZ63">
        <v>6</v>
      </c>
      <c r="CA63">
        <v>915.11290199999996</v>
      </c>
      <c r="CB63">
        <v>379.26770199999999</v>
      </c>
      <c r="CC63">
        <v>535.84519999999998</v>
      </c>
      <c r="CD63">
        <v>14.615786460000001</v>
      </c>
      <c r="CE63">
        <v>14.615786460000001</v>
      </c>
      <c r="CF63">
        <v>0</v>
      </c>
      <c r="CG63">
        <v>18.105779779999999</v>
      </c>
      <c r="CH63">
        <v>18.127779780000001</v>
      </c>
      <c r="CI63">
        <v>-2.1999999999999999E-2</v>
      </c>
      <c r="CJ63">
        <v>0.1224127168</v>
      </c>
      <c r="CK63">
        <v>3.9934751999999997E-2</v>
      </c>
      <c r="CL63">
        <v>2.5037493800000001E-2</v>
      </c>
      <c r="CM63" s="2">
        <v>6.9587836999999999E-6</v>
      </c>
      <c r="CN63">
        <v>49.843088936667002</v>
      </c>
      <c r="CO63">
        <v>112.79012359133</v>
      </c>
      <c r="CP63">
        <v>36.450370160791003</v>
      </c>
      <c r="CQ63">
        <v>15.106822445317</v>
      </c>
      <c r="CR63">
        <v>21.343547715473999</v>
      </c>
      <c r="CS63">
        <v>0.58216950661905997</v>
      </c>
      <c r="CT63">
        <v>0.58216950661905997</v>
      </c>
      <c r="CU63">
        <v>0</v>
      </c>
      <c r="CV63">
        <v>0.72118136853758996</v>
      </c>
      <c r="CW63">
        <v>0.72205766275417005</v>
      </c>
      <c r="CX63">
        <v>-8.7629421657679004E-4</v>
      </c>
      <c r="CY63">
        <v>4.8758888985133003E-3</v>
      </c>
      <c r="CZ63">
        <v>1.5906632826376999E-3</v>
      </c>
      <c r="DA63">
        <v>9.9728231884168997E-4</v>
      </c>
      <c r="DB63" s="2">
        <v>2.7717917775995E-7</v>
      </c>
    </row>
    <row r="64" spans="1:106" x14ac:dyDescent="0.25">
      <c r="A64">
        <v>25868</v>
      </c>
      <c r="B64" t="s">
        <v>284</v>
      </c>
      <c r="C64">
        <v>50</v>
      </c>
      <c r="D64" t="s">
        <v>261</v>
      </c>
      <c r="E64">
        <v>2</v>
      </c>
      <c r="F64" t="s">
        <v>167</v>
      </c>
      <c r="G64">
        <v>31799.16</v>
      </c>
      <c r="H64" t="s">
        <v>0</v>
      </c>
      <c r="I64">
        <v>4</v>
      </c>
      <c r="J64">
        <v>31799.16</v>
      </c>
      <c r="L64">
        <v>92117.401014000003</v>
      </c>
      <c r="O64">
        <v>796833</v>
      </c>
      <c r="P64" t="s">
        <v>39</v>
      </c>
      <c r="Q64">
        <v>114</v>
      </c>
      <c r="R64" t="s">
        <v>262</v>
      </c>
      <c r="S64" t="s">
        <v>263</v>
      </c>
      <c r="T64">
        <v>1266.6099999999999</v>
      </c>
      <c r="V64">
        <v>2142736129</v>
      </c>
      <c r="W64" t="s">
        <v>42</v>
      </c>
      <c r="Y64">
        <v>0.08</v>
      </c>
      <c r="AF64" t="s">
        <v>29</v>
      </c>
      <c r="AG64" t="s">
        <v>30</v>
      </c>
      <c r="AH64" s="1">
        <v>1</v>
      </c>
      <c r="AI64">
        <v>0.08</v>
      </c>
      <c r="AJ64">
        <v>30</v>
      </c>
      <c r="AK64">
        <v>2.4</v>
      </c>
      <c r="AM64">
        <v>2.4</v>
      </c>
      <c r="AN64">
        <v>3039.864</v>
      </c>
      <c r="AO64">
        <v>9.5595732717468004E-2</v>
      </c>
      <c r="AP64" t="s">
        <v>0</v>
      </c>
      <c r="AQ64" t="s">
        <v>264</v>
      </c>
      <c r="AR64">
        <v>30358</v>
      </c>
      <c r="AS64" t="s">
        <v>265</v>
      </c>
      <c r="AT64">
        <v>5</v>
      </c>
      <c r="AU64">
        <v>1</v>
      </c>
      <c r="AV64" t="s">
        <v>266</v>
      </c>
      <c r="AW64">
        <v>0</v>
      </c>
      <c r="AX64">
        <v>50</v>
      </c>
      <c r="AY64">
        <v>50</v>
      </c>
      <c r="AZ64" t="s">
        <v>285</v>
      </c>
      <c r="BC64">
        <v>5</v>
      </c>
      <c r="BE64">
        <v>4</v>
      </c>
      <c r="BG64">
        <v>0</v>
      </c>
      <c r="BH64">
        <v>100</v>
      </c>
      <c r="BI64">
        <v>0</v>
      </c>
      <c r="BK64">
        <v>94.039664000000002</v>
      </c>
      <c r="BL64">
        <v>63.369664</v>
      </c>
      <c r="BM64">
        <v>30.67</v>
      </c>
      <c r="BN64">
        <v>2.2950843999999999</v>
      </c>
      <c r="BO64">
        <v>2.2950843999999999</v>
      </c>
      <c r="BP64">
        <v>0</v>
      </c>
      <c r="BQ64">
        <v>4.3072961000000003</v>
      </c>
      <c r="BR64">
        <v>4.3072961000000003</v>
      </c>
      <c r="BS64">
        <v>0</v>
      </c>
      <c r="BT64">
        <v>1.7704617999999998E-2</v>
      </c>
      <c r="BU64">
        <v>3.8300106000000002E-3</v>
      </c>
      <c r="BV64">
        <v>3.5497072000000001E-3</v>
      </c>
      <c r="BW64" s="2">
        <v>2.2388164000000001E-8</v>
      </c>
      <c r="BX64">
        <v>0</v>
      </c>
      <c r="BY64">
        <v>0</v>
      </c>
      <c r="BZ64">
        <v>6</v>
      </c>
      <c r="CA64">
        <v>225.69519360000001</v>
      </c>
      <c r="CB64">
        <v>152.08719360000001</v>
      </c>
      <c r="CC64">
        <v>73.608000000000004</v>
      </c>
      <c r="CD64">
        <v>5.50820256</v>
      </c>
      <c r="CE64">
        <v>5.50820256</v>
      </c>
      <c r="CF64">
        <v>0</v>
      </c>
      <c r="CG64">
        <v>10.33751064</v>
      </c>
      <c r="CH64">
        <v>10.33751064</v>
      </c>
      <c r="CI64">
        <v>0</v>
      </c>
      <c r="CJ64">
        <v>4.2491083200000002E-2</v>
      </c>
      <c r="CK64">
        <v>9.1920254399999995E-3</v>
      </c>
      <c r="CL64">
        <v>8.5192972799999992E-3</v>
      </c>
      <c r="CM64" s="2">
        <v>5.3731593599999997E-8</v>
      </c>
      <c r="CN64">
        <v>14.91156932</v>
      </c>
      <c r="CO64">
        <v>112.79012359133</v>
      </c>
      <c r="CP64">
        <v>8.9897905845844992</v>
      </c>
      <c r="CQ64">
        <v>6.0578694621398004</v>
      </c>
      <c r="CR64">
        <v>2.9319211224447002</v>
      </c>
      <c r="CS64">
        <v>0.21940027486642999</v>
      </c>
      <c r="CT64">
        <v>0.21940027486642999</v>
      </c>
      <c r="CU64">
        <v>0</v>
      </c>
      <c r="CV64">
        <v>0.41175912671059001</v>
      </c>
      <c r="CW64">
        <v>0.41175912671059001</v>
      </c>
      <c r="CX64">
        <v>0</v>
      </c>
      <c r="CY64">
        <v>1.6924859301929E-3</v>
      </c>
      <c r="CZ64">
        <v>3.6613266962267E-4</v>
      </c>
      <c r="DA64">
        <v>3.3933686071647003E-4</v>
      </c>
      <c r="DB64" s="2">
        <v>2.1402129417788001E-9</v>
      </c>
    </row>
    <row r="65" spans="1:106" x14ac:dyDescent="0.25">
      <c r="A65">
        <v>25868</v>
      </c>
      <c r="B65" t="s">
        <v>284</v>
      </c>
      <c r="C65">
        <v>50</v>
      </c>
      <c r="D65" t="s">
        <v>261</v>
      </c>
      <c r="E65">
        <v>2</v>
      </c>
      <c r="F65" t="s">
        <v>167</v>
      </c>
      <c r="G65">
        <v>31799.16</v>
      </c>
      <c r="H65" t="s">
        <v>0</v>
      </c>
      <c r="I65">
        <v>4</v>
      </c>
      <c r="J65">
        <v>31799.16</v>
      </c>
      <c r="L65">
        <v>92117.401014000003</v>
      </c>
      <c r="O65">
        <v>796833</v>
      </c>
      <c r="P65" t="s">
        <v>39</v>
      </c>
      <c r="Q65">
        <v>114</v>
      </c>
      <c r="R65" t="s">
        <v>262</v>
      </c>
      <c r="S65" t="s">
        <v>263</v>
      </c>
      <c r="T65">
        <v>1266.6099999999999</v>
      </c>
      <c r="V65">
        <v>2142736129</v>
      </c>
      <c r="W65" t="s">
        <v>42</v>
      </c>
      <c r="Y65">
        <v>0.08</v>
      </c>
      <c r="AF65" t="s">
        <v>29</v>
      </c>
      <c r="AG65" t="s">
        <v>30</v>
      </c>
      <c r="AH65" s="1">
        <v>1</v>
      </c>
      <c r="AI65">
        <v>0.08</v>
      </c>
      <c r="AJ65">
        <v>30</v>
      </c>
      <c r="AK65">
        <v>2.4</v>
      </c>
      <c r="AM65">
        <v>2.4</v>
      </c>
      <c r="AN65">
        <v>3039.864</v>
      </c>
      <c r="AO65">
        <v>9.5595732717468004E-2</v>
      </c>
      <c r="AP65" t="s">
        <v>0</v>
      </c>
      <c r="AQ65" t="s">
        <v>264</v>
      </c>
      <c r="AR65">
        <v>30358</v>
      </c>
      <c r="AS65" t="s">
        <v>265</v>
      </c>
      <c r="AT65">
        <v>6</v>
      </c>
      <c r="AU65">
        <v>1</v>
      </c>
      <c r="AV65" t="s">
        <v>266</v>
      </c>
      <c r="AW65">
        <v>0</v>
      </c>
      <c r="AX65">
        <v>50</v>
      </c>
      <c r="AY65">
        <v>50</v>
      </c>
      <c r="AZ65" t="s">
        <v>285</v>
      </c>
      <c r="BC65">
        <v>5</v>
      </c>
      <c r="BE65">
        <v>4</v>
      </c>
      <c r="BG65">
        <v>0</v>
      </c>
      <c r="BH65">
        <v>100</v>
      </c>
      <c r="BI65">
        <v>0</v>
      </c>
      <c r="BK65">
        <v>94.039664000000002</v>
      </c>
      <c r="BL65">
        <v>63.369664</v>
      </c>
      <c r="BM65">
        <v>30.67</v>
      </c>
      <c r="BN65">
        <v>2.2950843999999999</v>
      </c>
      <c r="BO65">
        <v>2.2950843999999999</v>
      </c>
      <c r="BP65">
        <v>0</v>
      </c>
      <c r="BQ65">
        <v>4.3072961000000003</v>
      </c>
      <c r="BR65">
        <v>4.3072961000000003</v>
      </c>
      <c r="BS65">
        <v>0</v>
      </c>
      <c r="BT65">
        <v>1.7704617999999998E-2</v>
      </c>
      <c r="BU65">
        <v>3.8300106000000002E-3</v>
      </c>
      <c r="BV65">
        <v>3.5497072000000001E-3</v>
      </c>
      <c r="BW65" s="2">
        <v>2.2388164000000001E-8</v>
      </c>
      <c r="BX65">
        <v>0</v>
      </c>
      <c r="BY65">
        <v>0</v>
      </c>
      <c r="BZ65">
        <v>6</v>
      </c>
      <c r="CA65">
        <v>225.69519360000001</v>
      </c>
      <c r="CB65">
        <v>152.08719360000001</v>
      </c>
      <c r="CC65">
        <v>73.608000000000004</v>
      </c>
      <c r="CD65">
        <v>5.50820256</v>
      </c>
      <c r="CE65">
        <v>5.50820256</v>
      </c>
      <c r="CF65">
        <v>0</v>
      </c>
      <c r="CG65">
        <v>10.33751064</v>
      </c>
      <c r="CH65">
        <v>10.33751064</v>
      </c>
      <c r="CI65">
        <v>0</v>
      </c>
      <c r="CJ65">
        <v>4.2491083200000002E-2</v>
      </c>
      <c r="CK65">
        <v>9.1920254399999995E-3</v>
      </c>
      <c r="CL65">
        <v>8.5192972799999992E-3</v>
      </c>
      <c r="CM65" s="2">
        <v>5.3731593599999997E-8</v>
      </c>
      <c r="CN65">
        <v>14.91156932</v>
      </c>
      <c r="CO65">
        <v>112.79012359133</v>
      </c>
      <c r="CP65">
        <v>8.9897905845844992</v>
      </c>
      <c r="CQ65">
        <v>6.0578694621398004</v>
      </c>
      <c r="CR65">
        <v>2.9319211224447002</v>
      </c>
      <c r="CS65">
        <v>0.21940027486642999</v>
      </c>
      <c r="CT65">
        <v>0.21940027486642999</v>
      </c>
      <c r="CU65">
        <v>0</v>
      </c>
      <c r="CV65">
        <v>0.41175912671059001</v>
      </c>
      <c r="CW65">
        <v>0.41175912671059001</v>
      </c>
      <c r="CX65">
        <v>0</v>
      </c>
      <c r="CY65">
        <v>1.6924859301929E-3</v>
      </c>
      <c r="CZ65">
        <v>3.6613266962267E-4</v>
      </c>
      <c r="DA65">
        <v>3.3933686071647003E-4</v>
      </c>
      <c r="DB65" s="2">
        <v>2.1402129417788001E-9</v>
      </c>
    </row>
    <row r="66" spans="1:106" x14ac:dyDescent="0.25">
      <c r="A66">
        <v>25868</v>
      </c>
      <c r="B66" t="s">
        <v>284</v>
      </c>
      <c r="C66">
        <v>50</v>
      </c>
      <c r="D66" t="s">
        <v>261</v>
      </c>
      <c r="E66">
        <v>2</v>
      </c>
      <c r="F66" t="s">
        <v>167</v>
      </c>
      <c r="G66">
        <v>31799.16</v>
      </c>
      <c r="H66" t="s">
        <v>0</v>
      </c>
      <c r="I66">
        <v>4</v>
      </c>
      <c r="J66">
        <v>31799.16</v>
      </c>
      <c r="L66">
        <v>92117.401014000003</v>
      </c>
      <c r="O66">
        <v>796833</v>
      </c>
      <c r="P66" t="s">
        <v>39</v>
      </c>
      <c r="Q66">
        <v>114</v>
      </c>
      <c r="R66" t="s">
        <v>262</v>
      </c>
      <c r="S66" t="s">
        <v>263</v>
      </c>
      <c r="T66">
        <v>1266.6099999999999</v>
      </c>
      <c r="V66">
        <v>2142717830</v>
      </c>
      <c r="W66" t="s">
        <v>43</v>
      </c>
      <c r="Y66">
        <v>0.12</v>
      </c>
      <c r="AF66" t="s">
        <v>29</v>
      </c>
      <c r="AG66" t="s">
        <v>30</v>
      </c>
      <c r="AH66" s="1">
        <v>1</v>
      </c>
      <c r="AI66">
        <v>0.12</v>
      </c>
      <c r="AJ66">
        <v>166</v>
      </c>
      <c r="AK66">
        <v>19.920000000000002</v>
      </c>
      <c r="AM66">
        <v>19.920000000000002</v>
      </c>
      <c r="AN66">
        <v>25230.871200000001</v>
      </c>
      <c r="AO66">
        <v>0.79344458155497999</v>
      </c>
      <c r="AP66" t="s">
        <v>0</v>
      </c>
      <c r="AQ66" t="s">
        <v>264</v>
      </c>
      <c r="AR66">
        <v>30358</v>
      </c>
      <c r="AS66" t="s">
        <v>265</v>
      </c>
      <c r="AT66">
        <v>7</v>
      </c>
      <c r="AU66">
        <v>1</v>
      </c>
      <c r="AV66" t="s">
        <v>266</v>
      </c>
      <c r="AW66">
        <v>0</v>
      </c>
      <c r="AX66">
        <v>50</v>
      </c>
      <c r="AY66">
        <v>50</v>
      </c>
      <c r="AZ66" t="s">
        <v>285</v>
      </c>
      <c r="BC66">
        <v>4</v>
      </c>
      <c r="BE66">
        <v>3</v>
      </c>
      <c r="BG66">
        <v>100</v>
      </c>
      <c r="BH66">
        <v>0</v>
      </c>
      <c r="BI66">
        <v>0</v>
      </c>
      <c r="BK66">
        <v>21.343074999999999</v>
      </c>
      <c r="BL66">
        <v>21.343074999999999</v>
      </c>
      <c r="BM66">
        <v>0</v>
      </c>
      <c r="BN66">
        <v>0.78469758000000001</v>
      </c>
      <c r="BO66">
        <v>0.78469758000000001</v>
      </c>
      <c r="BP66">
        <v>0</v>
      </c>
      <c r="BQ66">
        <v>1.7409311000000001</v>
      </c>
      <c r="BR66">
        <v>1.7409311000000001</v>
      </c>
      <c r="BS66">
        <v>0</v>
      </c>
      <c r="BT66">
        <v>1.1809325000000001E-2</v>
      </c>
      <c r="BU66">
        <v>3.1100953999999999E-3</v>
      </c>
      <c r="BV66">
        <v>5.0632319000000004E-3</v>
      </c>
      <c r="BW66" s="2">
        <v>7.0109999999999997E-8</v>
      </c>
      <c r="BX66">
        <v>0</v>
      </c>
      <c r="BY66">
        <v>0</v>
      </c>
      <c r="BZ66">
        <v>6</v>
      </c>
      <c r="CA66">
        <v>425.15405399999997</v>
      </c>
      <c r="CB66">
        <v>425.15405399999997</v>
      </c>
      <c r="CC66">
        <v>0</v>
      </c>
      <c r="CD66">
        <v>15.631175793600001</v>
      </c>
      <c r="CE66">
        <v>15.631175793600001</v>
      </c>
      <c r="CF66">
        <v>0</v>
      </c>
      <c r="CG66">
        <v>34.679347512</v>
      </c>
      <c r="CH66">
        <v>34.679347512</v>
      </c>
      <c r="CI66">
        <v>0</v>
      </c>
      <c r="CJ66">
        <v>0.235241754</v>
      </c>
      <c r="CK66">
        <v>6.1953100368000003E-2</v>
      </c>
      <c r="CL66">
        <v>0.100859579448</v>
      </c>
      <c r="CM66" s="2">
        <v>1.3965911999999999E-6</v>
      </c>
      <c r="CN66">
        <v>51.317260251999997</v>
      </c>
      <c r="CO66">
        <v>112.79012359133</v>
      </c>
      <c r="CP66">
        <v>16.934547212472001</v>
      </c>
      <c r="CQ66">
        <v>16.934547212472001</v>
      </c>
      <c r="CR66">
        <v>0</v>
      </c>
      <c r="CS66">
        <v>0.62261404301030998</v>
      </c>
      <c r="CT66">
        <v>0.62261404301030998</v>
      </c>
      <c r="CU66">
        <v>0</v>
      </c>
      <c r="CV66">
        <v>1.3813323481555999</v>
      </c>
      <c r="CW66">
        <v>1.3813323481555999</v>
      </c>
      <c r="CX66">
        <v>0</v>
      </c>
      <c r="CY66">
        <v>9.3700449330717996E-3</v>
      </c>
      <c r="CZ66">
        <v>2.4676883432491001E-3</v>
      </c>
      <c r="DA66">
        <v>4.0173939162112997E-3</v>
      </c>
      <c r="DB66" s="2">
        <v>5.5628399612819998E-8</v>
      </c>
    </row>
    <row r="67" spans="1:106" x14ac:dyDescent="0.25">
      <c r="A67">
        <v>25868</v>
      </c>
      <c r="B67" t="s">
        <v>284</v>
      </c>
      <c r="C67">
        <v>50</v>
      </c>
      <c r="D67" t="s">
        <v>261</v>
      </c>
      <c r="E67">
        <v>2</v>
      </c>
      <c r="F67" t="s">
        <v>167</v>
      </c>
      <c r="G67">
        <v>31799.16</v>
      </c>
      <c r="H67" t="s">
        <v>0</v>
      </c>
      <c r="I67">
        <v>4</v>
      </c>
      <c r="J67">
        <v>31799.16</v>
      </c>
      <c r="L67">
        <v>92117.401014000003</v>
      </c>
      <c r="O67">
        <v>796833</v>
      </c>
      <c r="P67" t="s">
        <v>39</v>
      </c>
      <c r="Q67">
        <v>114</v>
      </c>
      <c r="R67" t="s">
        <v>262</v>
      </c>
      <c r="S67" t="s">
        <v>263</v>
      </c>
      <c r="T67">
        <v>1266.6099999999999</v>
      </c>
      <c r="V67">
        <v>2142732300</v>
      </c>
      <c r="W67" t="s">
        <v>44</v>
      </c>
      <c r="Y67">
        <v>1E-3</v>
      </c>
      <c r="AF67" t="s">
        <v>29</v>
      </c>
      <c r="AG67" t="s">
        <v>30</v>
      </c>
      <c r="AH67" s="1">
        <v>1</v>
      </c>
      <c r="AI67">
        <v>1E-3</v>
      </c>
      <c r="AJ67">
        <v>300</v>
      </c>
      <c r="AK67">
        <v>0.3</v>
      </c>
      <c r="AM67">
        <v>0.3</v>
      </c>
      <c r="AN67">
        <v>379.983</v>
      </c>
      <c r="AO67">
        <v>1.1949466589682999E-2</v>
      </c>
      <c r="AP67" t="s">
        <v>0</v>
      </c>
      <c r="AQ67" t="s">
        <v>264</v>
      </c>
      <c r="AR67">
        <v>30358</v>
      </c>
      <c r="AS67" t="s">
        <v>265</v>
      </c>
      <c r="AT67">
        <v>8</v>
      </c>
      <c r="AU67">
        <v>1</v>
      </c>
      <c r="AV67" t="s">
        <v>266</v>
      </c>
      <c r="AW67">
        <v>1</v>
      </c>
      <c r="AX67">
        <v>25</v>
      </c>
      <c r="AY67">
        <v>25</v>
      </c>
      <c r="AZ67" t="s">
        <v>286</v>
      </c>
      <c r="BC67">
        <v>3</v>
      </c>
      <c r="BE67">
        <v>3</v>
      </c>
      <c r="BG67">
        <v>0</v>
      </c>
      <c r="BH67">
        <v>100</v>
      </c>
      <c r="BI67">
        <v>0</v>
      </c>
      <c r="BK67">
        <v>85.988403000000005</v>
      </c>
      <c r="BL67">
        <v>43.518402999999999</v>
      </c>
      <c r="BM67">
        <v>42.47</v>
      </c>
      <c r="BN67">
        <v>1.3022769000000001</v>
      </c>
      <c r="BO67">
        <v>1.3022769000000001</v>
      </c>
      <c r="BP67">
        <v>0</v>
      </c>
      <c r="BQ67">
        <v>2.8430924000000002</v>
      </c>
      <c r="BR67">
        <v>2.8640924000000001</v>
      </c>
      <c r="BS67">
        <v>-2.1000000000000001E-2</v>
      </c>
      <c r="BT67">
        <v>8.3217996000000006E-3</v>
      </c>
      <c r="BU67">
        <v>1.6064606999999999E-3</v>
      </c>
      <c r="BV67">
        <v>2.4785428000000001E-3</v>
      </c>
      <c r="BW67" s="2">
        <v>3.9116873999999998E-8</v>
      </c>
      <c r="BX67">
        <v>0</v>
      </c>
      <c r="BY67">
        <v>0</v>
      </c>
      <c r="BZ67">
        <v>6</v>
      </c>
      <c r="CA67">
        <v>51.593041800000002</v>
      </c>
      <c r="CB67">
        <v>26.111041799999999</v>
      </c>
      <c r="CC67">
        <v>25.481999999999999</v>
      </c>
      <c r="CD67">
        <v>0.78136614000000004</v>
      </c>
      <c r="CE67">
        <v>0.78136614000000004</v>
      </c>
      <c r="CF67">
        <v>0</v>
      </c>
      <c r="CG67">
        <v>1.7121554400000001</v>
      </c>
      <c r="CH67">
        <v>1.7184554400000001</v>
      </c>
      <c r="CI67">
        <v>-6.3E-3</v>
      </c>
      <c r="CJ67">
        <v>4.9930797599999997E-3</v>
      </c>
      <c r="CK67">
        <v>9.6387641999999996E-4</v>
      </c>
      <c r="CL67">
        <v>1.4871256800000001E-3</v>
      </c>
      <c r="CM67" s="2">
        <v>2.3470124400000001E-8</v>
      </c>
      <c r="CN67">
        <v>2.670871268</v>
      </c>
      <c r="CO67">
        <v>112.79012359133</v>
      </c>
      <c r="CP67">
        <v>2.0550310974974999</v>
      </c>
      <c r="CQ67">
        <v>1.0400434053698</v>
      </c>
      <c r="CR67">
        <v>1.0149876921276999</v>
      </c>
      <c r="CS67">
        <v>3.1123028614132998E-2</v>
      </c>
      <c r="CT67">
        <v>3.1123028614132998E-2</v>
      </c>
      <c r="CU67">
        <v>0</v>
      </c>
      <c r="CV67">
        <v>6.8197814088750003E-2</v>
      </c>
      <c r="CW67">
        <v>6.8448752887132994E-2</v>
      </c>
      <c r="CX67">
        <v>-2.5093879838335002E-4</v>
      </c>
      <c r="CY67">
        <v>1.9888213257248001E-4</v>
      </c>
      <c r="CZ67" s="2">
        <v>3.8392696924579002E-5</v>
      </c>
      <c r="DA67" s="2">
        <v>5.9234528759400999E-5</v>
      </c>
      <c r="DB67" s="2">
        <v>9.3485155791171994E-10</v>
      </c>
    </row>
    <row r="68" spans="1:106" x14ac:dyDescent="0.25">
      <c r="A68">
        <v>25868</v>
      </c>
      <c r="B68" t="s">
        <v>284</v>
      </c>
      <c r="C68">
        <v>50</v>
      </c>
      <c r="D68" t="s">
        <v>261</v>
      </c>
      <c r="E68">
        <v>2</v>
      </c>
      <c r="F68" t="s">
        <v>167</v>
      </c>
      <c r="G68">
        <v>31799.16</v>
      </c>
      <c r="H68" t="s">
        <v>0</v>
      </c>
      <c r="I68">
        <v>4</v>
      </c>
      <c r="J68">
        <v>31799.16</v>
      </c>
      <c r="L68">
        <v>92117.401014000003</v>
      </c>
      <c r="O68">
        <v>796833</v>
      </c>
      <c r="P68" t="s">
        <v>39</v>
      </c>
      <c r="Q68">
        <v>114</v>
      </c>
      <c r="R68" t="s">
        <v>262</v>
      </c>
      <c r="S68" t="s">
        <v>263</v>
      </c>
      <c r="T68">
        <v>1266.6099999999999</v>
      </c>
      <c r="V68">
        <v>2142704059</v>
      </c>
      <c r="W68" t="s">
        <v>45</v>
      </c>
      <c r="Y68">
        <v>0.24</v>
      </c>
      <c r="AF68" t="s">
        <v>29</v>
      </c>
      <c r="AG68" t="s">
        <v>30</v>
      </c>
      <c r="AH68" s="1">
        <v>1</v>
      </c>
      <c r="AI68">
        <v>0.24</v>
      </c>
      <c r="AJ68">
        <v>475</v>
      </c>
      <c r="AK68">
        <v>114</v>
      </c>
      <c r="AM68">
        <v>114</v>
      </c>
      <c r="AN68">
        <v>144393.54</v>
      </c>
      <c r="AO68">
        <v>4.5407973040796996</v>
      </c>
      <c r="AP68" t="s">
        <v>0</v>
      </c>
      <c r="AQ68" t="s">
        <v>264</v>
      </c>
      <c r="AR68">
        <v>30358</v>
      </c>
      <c r="AS68" t="s">
        <v>265</v>
      </c>
      <c r="AT68">
        <v>9</v>
      </c>
      <c r="AU68">
        <v>1</v>
      </c>
      <c r="AV68" t="s">
        <v>266</v>
      </c>
      <c r="AW68">
        <v>0</v>
      </c>
      <c r="AX68">
        <v>50</v>
      </c>
      <c r="AY68">
        <v>50</v>
      </c>
      <c r="AZ68" t="s">
        <v>285</v>
      </c>
      <c r="BC68">
        <v>1</v>
      </c>
      <c r="BE68">
        <v>1</v>
      </c>
      <c r="BG68">
        <v>0</v>
      </c>
      <c r="BH68">
        <v>100</v>
      </c>
      <c r="BI68">
        <v>0</v>
      </c>
      <c r="BK68">
        <v>2.1404299189999998</v>
      </c>
      <c r="BL68">
        <v>1.790871468</v>
      </c>
      <c r="BM68">
        <v>0.34955845099999999</v>
      </c>
      <c r="BN68">
        <v>17.769736464000001</v>
      </c>
      <c r="BO68">
        <v>1.7885062140000001</v>
      </c>
      <c r="BP68">
        <v>15.981230249999999</v>
      </c>
      <c r="BQ68">
        <v>-1.5060725230000001</v>
      </c>
      <c r="BR68">
        <v>0.11415136400000001</v>
      </c>
      <c r="BS68">
        <v>-1.6202238870000001</v>
      </c>
      <c r="BT68">
        <v>4.83063691E-4</v>
      </c>
      <c r="BX68">
        <v>0</v>
      </c>
      <c r="BY68">
        <v>0</v>
      </c>
      <c r="BZ68">
        <v>6</v>
      </c>
      <c r="CA68">
        <v>244.00901076599999</v>
      </c>
      <c r="CB68">
        <v>204.159347352</v>
      </c>
      <c r="CC68">
        <v>39.849663413999998</v>
      </c>
      <c r="CD68">
        <v>2025.749956896</v>
      </c>
      <c r="CE68">
        <v>203.889708396</v>
      </c>
      <c r="CF68">
        <v>1821.8602484999999</v>
      </c>
      <c r="CG68">
        <v>-171.692267622</v>
      </c>
      <c r="CH68">
        <v>13.013255495999999</v>
      </c>
      <c r="CI68">
        <v>-184.705523118</v>
      </c>
      <c r="CJ68">
        <v>5.5069260773999998E-2</v>
      </c>
      <c r="CN68">
        <v>-13.1391761416</v>
      </c>
      <c r="CO68">
        <v>112.79012359133</v>
      </c>
      <c r="CP68">
        <v>9.7192584057667997</v>
      </c>
      <c r="CQ68">
        <v>8.1319843338477007</v>
      </c>
      <c r="CR68">
        <v>1.5872740719191001</v>
      </c>
      <c r="CS68">
        <v>80.688771429938001</v>
      </c>
      <c r="CT68">
        <v>8.1212441948609992</v>
      </c>
      <c r="CU68">
        <v>72.567527235076994</v>
      </c>
      <c r="CV68">
        <v>-6.8387700521869998</v>
      </c>
      <c r="CW68">
        <v>0.51833820590822</v>
      </c>
      <c r="CX68">
        <v>-7.3571082580951996</v>
      </c>
      <c r="CY68">
        <v>2.1934943057916002E-3</v>
      </c>
    </row>
    <row r="69" spans="1:106" x14ac:dyDescent="0.25">
      <c r="A69">
        <v>25868</v>
      </c>
      <c r="B69" t="s">
        <v>284</v>
      </c>
      <c r="C69">
        <v>50</v>
      </c>
      <c r="D69" t="s">
        <v>261</v>
      </c>
      <c r="E69">
        <v>2</v>
      </c>
      <c r="F69" t="s">
        <v>167</v>
      </c>
      <c r="G69">
        <v>31799.16</v>
      </c>
      <c r="H69" t="s">
        <v>0</v>
      </c>
      <c r="I69">
        <v>4</v>
      </c>
      <c r="J69">
        <v>31799.16</v>
      </c>
      <c r="L69">
        <v>92117.401014000003</v>
      </c>
      <c r="O69">
        <v>796833</v>
      </c>
      <c r="P69" t="s">
        <v>39</v>
      </c>
      <c r="Q69">
        <v>114</v>
      </c>
      <c r="R69" t="s">
        <v>262</v>
      </c>
      <c r="S69" t="s">
        <v>263</v>
      </c>
      <c r="T69">
        <v>1266.6099999999999</v>
      </c>
      <c r="V69">
        <v>2142710458</v>
      </c>
      <c r="W69" t="s">
        <v>19</v>
      </c>
      <c r="Y69">
        <v>1.7999999999999999E-2</v>
      </c>
      <c r="AF69" t="s">
        <v>29</v>
      </c>
      <c r="AG69" t="s">
        <v>30</v>
      </c>
      <c r="AH69" s="1">
        <v>1</v>
      </c>
      <c r="AI69">
        <v>1.7999999999999999E-2</v>
      </c>
      <c r="AJ69">
        <v>1050</v>
      </c>
      <c r="AK69">
        <v>18.899999999999999</v>
      </c>
      <c r="AM69">
        <v>18.899999999999999</v>
      </c>
      <c r="AN69">
        <v>23938.929</v>
      </c>
      <c r="AO69">
        <v>0.75281639515006005</v>
      </c>
      <c r="AP69" t="s">
        <v>0</v>
      </c>
      <c r="AQ69" t="s">
        <v>264</v>
      </c>
      <c r="AR69">
        <v>30358</v>
      </c>
      <c r="AS69" t="s">
        <v>265</v>
      </c>
      <c r="AT69">
        <v>10</v>
      </c>
      <c r="AU69">
        <v>1</v>
      </c>
      <c r="AV69" t="s">
        <v>266</v>
      </c>
      <c r="AW69">
        <v>0</v>
      </c>
      <c r="AX69">
        <v>50</v>
      </c>
      <c r="AY69">
        <v>50</v>
      </c>
      <c r="AZ69" t="s">
        <v>285</v>
      </c>
      <c r="BC69">
        <v>4</v>
      </c>
      <c r="BE69">
        <v>3</v>
      </c>
      <c r="BG69">
        <v>100</v>
      </c>
      <c r="BH69">
        <v>0</v>
      </c>
      <c r="BI69">
        <v>0</v>
      </c>
      <c r="BK69">
        <v>5.401116</v>
      </c>
      <c r="BL69">
        <v>5.401116</v>
      </c>
      <c r="BM69">
        <v>0</v>
      </c>
      <c r="BN69">
        <v>3.2317733999999998</v>
      </c>
      <c r="BO69">
        <v>3.2317733999999998</v>
      </c>
      <c r="BP69">
        <v>0</v>
      </c>
      <c r="BQ69">
        <v>8.4483150000000007E-2</v>
      </c>
      <c r="BR69">
        <v>0.37648314999999999</v>
      </c>
      <c r="BS69">
        <v>-0.29199999999999998</v>
      </c>
      <c r="BT69">
        <v>1.5654682E-3</v>
      </c>
      <c r="BU69">
        <v>4.8524325999999999E-4</v>
      </c>
      <c r="BV69">
        <v>1.3231905000000001E-4</v>
      </c>
      <c r="BW69" s="2">
        <v>3.8549634999999997E-8</v>
      </c>
      <c r="BX69">
        <v>0</v>
      </c>
      <c r="BY69">
        <v>0</v>
      </c>
      <c r="BZ69">
        <v>6</v>
      </c>
      <c r="CA69">
        <v>102.0810924</v>
      </c>
      <c r="CB69">
        <v>102.0810924</v>
      </c>
      <c r="CC69">
        <v>0</v>
      </c>
      <c r="CD69">
        <v>61.080517260000001</v>
      </c>
      <c r="CE69">
        <v>61.080517260000001</v>
      </c>
      <c r="CF69">
        <v>0</v>
      </c>
      <c r="CG69">
        <v>1.596731535</v>
      </c>
      <c r="CH69">
        <v>7.1155315349999997</v>
      </c>
      <c r="CI69">
        <v>-5.5187999999999997</v>
      </c>
      <c r="CJ69">
        <v>2.9587348980000001E-2</v>
      </c>
      <c r="CK69">
        <v>9.1710976139999997E-3</v>
      </c>
      <c r="CL69">
        <v>2.5008300450000001E-3</v>
      </c>
      <c r="CM69" s="2">
        <v>7.2858810149999998E-7</v>
      </c>
      <c r="CN69">
        <v>7.6138048664999998</v>
      </c>
      <c r="CO69">
        <v>112.79012359133</v>
      </c>
      <c r="CP69">
        <v>4.0660486769073003</v>
      </c>
      <c r="CQ69">
        <v>4.0660486769073003</v>
      </c>
      <c r="CR69">
        <v>0</v>
      </c>
      <c r="CS69">
        <v>2.4329320009298998</v>
      </c>
      <c r="CT69">
        <v>2.4329320009298998</v>
      </c>
      <c r="CU69">
        <v>0</v>
      </c>
      <c r="CV69">
        <v>6.3600300433921994E-2</v>
      </c>
      <c r="CW69">
        <v>0.28342268781773999</v>
      </c>
      <c r="CX69">
        <v>-0.21982238738382001</v>
      </c>
      <c r="CY69">
        <v>1.1785101270461E-3</v>
      </c>
      <c r="CZ69">
        <v>3.6529908176406001E-4</v>
      </c>
      <c r="DA69" s="2">
        <v>9.9611950230680998E-5</v>
      </c>
      <c r="DB69" s="2">
        <v>2.9020797255051001E-8</v>
      </c>
    </row>
    <row r="70" spans="1:106" x14ac:dyDescent="0.25">
      <c r="A70">
        <v>25868</v>
      </c>
      <c r="B70" t="s">
        <v>284</v>
      </c>
      <c r="C70">
        <v>50</v>
      </c>
      <c r="D70" t="s">
        <v>261</v>
      </c>
      <c r="E70">
        <v>2</v>
      </c>
      <c r="F70" t="s">
        <v>167</v>
      </c>
      <c r="G70">
        <v>31799.16</v>
      </c>
      <c r="H70" t="s">
        <v>0</v>
      </c>
      <c r="I70">
        <v>4</v>
      </c>
      <c r="J70">
        <v>31799.16</v>
      </c>
      <c r="L70">
        <v>92117.401014000003</v>
      </c>
      <c r="O70">
        <v>796833</v>
      </c>
      <c r="P70" t="s">
        <v>39</v>
      </c>
      <c r="Q70">
        <v>114</v>
      </c>
      <c r="R70" t="s">
        <v>262</v>
      </c>
      <c r="S70" t="s">
        <v>263</v>
      </c>
      <c r="T70">
        <v>1266.6099999999999</v>
      </c>
      <c r="W70" t="s">
        <v>15</v>
      </c>
      <c r="Y70">
        <v>2E-3</v>
      </c>
      <c r="AF70" t="s">
        <v>29</v>
      </c>
      <c r="AG70" t="s">
        <v>30</v>
      </c>
      <c r="AH70" s="1">
        <v>1</v>
      </c>
      <c r="AI70">
        <v>2E-3</v>
      </c>
      <c r="AJ70">
        <v>1000</v>
      </c>
      <c r="AK70">
        <v>2</v>
      </c>
      <c r="AM70">
        <v>2</v>
      </c>
      <c r="AN70">
        <v>2533.2199999999998</v>
      </c>
      <c r="AO70">
        <v>7.9663110597889997E-2</v>
      </c>
      <c r="AP70" t="s">
        <v>0</v>
      </c>
      <c r="AQ70" t="s">
        <v>264</v>
      </c>
      <c r="AR70">
        <v>30358</v>
      </c>
      <c r="AS70" t="s">
        <v>265</v>
      </c>
      <c r="AT70">
        <v>11</v>
      </c>
      <c r="AU70">
        <v>1</v>
      </c>
      <c r="AV70" t="s">
        <v>266</v>
      </c>
      <c r="AW70">
        <v>0</v>
      </c>
      <c r="AX70">
        <v>50</v>
      </c>
      <c r="AY70">
        <v>50</v>
      </c>
      <c r="AZ70" t="s">
        <v>285</v>
      </c>
      <c r="BC70">
        <v>4</v>
      </c>
      <c r="BE70">
        <v>5</v>
      </c>
      <c r="BG70">
        <v>100</v>
      </c>
      <c r="BH70">
        <v>0</v>
      </c>
      <c r="BI70">
        <v>0</v>
      </c>
      <c r="BK70">
        <v>3.0673550000000001</v>
      </c>
      <c r="BL70">
        <v>3.0673550000000001</v>
      </c>
      <c r="BM70">
        <v>0</v>
      </c>
      <c r="BN70">
        <v>0.19348889999999999</v>
      </c>
      <c r="BO70">
        <v>0.19348889999999999</v>
      </c>
      <c r="BP70">
        <v>0</v>
      </c>
      <c r="BQ70">
        <v>0.15785514</v>
      </c>
      <c r="BR70">
        <v>0.16285514000000001</v>
      </c>
      <c r="BS70">
        <v>-5.0000000000000001E-3</v>
      </c>
      <c r="BT70">
        <v>6.0359172000000005E-4</v>
      </c>
      <c r="BU70">
        <v>2.7267961000000001E-4</v>
      </c>
      <c r="BV70" s="2">
        <v>5.5086983000000003E-5</v>
      </c>
      <c r="BW70" s="2">
        <v>1.6862043E-8</v>
      </c>
      <c r="BX70">
        <v>0</v>
      </c>
      <c r="BY70">
        <v>0</v>
      </c>
      <c r="BZ70">
        <v>6</v>
      </c>
      <c r="CA70">
        <v>6.1347100000000001</v>
      </c>
      <c r="CB70">
        <v>6.1347100000000001</v>
      </c>
      <c r="CC70">
        <v>0</v>
      </c>
      <c r="CD70">
        <v>0.38697779999999998</v>
      </c>
      <c r="CE70">
        <v>0.38697779999999998</v>
      </c>
      <c r="CF70">
        <v>0</v>
      </c>
      <c r="CG70">
        <v>0.31571028000000001</v>
      </c>
      <c r="CH70">
        <v>0.32571028000000002</v>
      </c>
      <c r="CI70">
        <v>-0.01</v>
      </c>
      <c r="CJ70">
        <v>1.2071834400000001E-3</v>
      </c>
      <c r="CK70">
        <v>5.4535922000000002E-4</v>
      </c>
      <c r="CL70">
        <v>1.1017396600000001E-4</v>
      </c>
      <c r="CM70" s="2">
        <v>3.3724085999999999E-8</v>
      </c>
      <c r="CN70">
        <v>0.41806650533333001</v>
      </c>
      <c r="CO70">
        <v>112.79012359133</v>
      </c>
      <c r="CP70">
        <v>0.24435504060798999</v>
      </c>
      <c r="CQ70">
        <v>0.24435504060798999</v>
      </c>
      <c r="CR70">
        <v>0</v>
      </c>
      <c r="CS70">
        <v>1.5413927640164001E-2</v>
      </c>
      <c r="CT70">
        <v>1.5413927640164001E-2</v>
      </c>
      <c r="CU70">
        <v>0</v>
      </c>
      <c r="CV70">
        <v>1.2575231476265001E-2</v>
      </c>
      <c r="CW70">
        <v>1.2973547029255E-2</v>
      </c>
      <c r="CX70">
        <v>-3.9831555298945002E-4</v>
      </c>
      <c r="CY70" s="2">
        <v>4.8083993946331002E-5</v>
      </c>
      <c r="CZ70" s="2">
        <v>2.172250592922E-5</v>
      </c>
      <c r="DA70" s="2">
        <v>4.3884004192331002E-6</v>
      </c>
      <c r="DB70" s="2">
        <v>1.3432827964154E-9</v>
      </c>
    </row>
    <row r="71" spans="1:106" x14ac:dyDescent="0.25">
      <c r="A71">
        <v>25868</v>
      </c>
      <c r="B71" t="s">
        <v>284</v>
      </c>
      <c r="C71">
        <v>50</v>
      </c>
      <c r="D71" t="s">
        <v>261</v>
      </c>
      <c r="E71">
        <v>2</v>
      </c>
      <c r="F71" t="s">
        <v>167</v>
      </c>
      <c r="G71">
        <v>31799.16</v>
      </c>
      <c r="H71" t="s">
        <v>0</v>
      </c>
      <c r="I71">
        <v>4</v>
      </c>
      <c r="J71">
        <v>31799.16</v>
      </c>
      <c r="L71">
        <v>92117.401014000003</v>
      </c>
      <c r="O71">
        <v>796833</v>
      </c>
      <c r="P71" t="s">
        <v>39</v>
      </c>
      <c r="Q71">
        <v>114</v>
      </c>
      <c r="R71" t="s">
        <v>262</v>
      </c>
      <c r="S71" t="s">
        <v>263</v>
      </c>
      <c r="T71">
        <v>1266.6099999999999</v>
      </c>
      <c r="V71">
        <v>2142685464</v>
      </c>
      <c r="W71" t="s">
        <v>14</v>
      </c>
      <c r="Y71">
        <v>2E-3</v>
      </c>
      <c r="AF71" t="s">
        <v>29</v>
      </c>
      <c r="AG71" t="s">
        <v>30</v>
      </c>
      <c r="AH71" s="1">
        <v>1</v>
      </c>
      <c r="AI71">
        <v>2E-3</v>
      </c>
      <c r="AJ71">
        <v>1300</v>
      </c>
      <c r="AK71">
        <v>2.6</v>
      </c>
      <c r="AM71">
        <v>2.6</v>
      </c>
      <c r="AN71">
        <v>3293.1860000000001</v>
      </c>
      <c r="AO71">
        <v>0.10356204377726</v>
      </c>
      <c r="AP71" t="s">
        <v>0</v>
      </c>
      <c r="AQ71" t="s">
        <v>264</v>
      </c>
      <c r="AR71">
        <v>30358</v>
      </c>
      <c r="AS71" t="s">
        <v>265</v>
      </c>
      <c r="AT71">
        <v>12</v>
      </c>
      <c r="AU71">
        <v>1</v>
      </c>
      <c r="AV71" t="s">
        <v>266</v>
      </c>
      <c r="AW71">
        <v>1</v>
      </c>
      <c r="AX71">
        <v>35</v>
      </c>
      <c r="AY71">
        <v>35</v>
      </c>
      <c r="AZ71" t="s">
        <v>287</v>
      </c>
      <c r="BC71">
        <v>2</v>
      </c>
      <c r="BE71">
        <v>3</v>
      </c>
      <c r="BG71">
        <v>100</v>
      </c>
      <c r="BH71">
        <v>0</v>
      </c>
      <c r="BI71">
        <v>0</v>
      </c>
      <c r="BK71">
        <v>2.0832495</v>
      </c>
      <c r="BL71">
        <v>2.0832495</v>
      </c>
      <c r="BM71">
        <v>0</v>
      </c>
      <c r="BN71">
        <v>0.32445808999999998</v>
      </c>
      <c r="BO71">
        <v>0.32445808999999998</v>
      </c>
      <c r="BP71">
        <v>0</v>
      </c>
      <c r="BQ71">
        <v>0.17529323999999999</v>
      </c>
      <c r="BR71">
        <v>0.17729323999999999</v>
      </c>
      <c r="BS71">
        <v>-2E-3</v>
      </c>
      <c r="BT71">
        <v>4.9332165000000002E-4</v>
      </c>
      <c r="BU71">
        <v>2.038571E-4</v>
      </c>
      <c r="BV71" s="2">
        <v>6.4315664999999996E-5</v>
      </c>
      <c r="BW71" s="2">
        <v>1.4918986000000002E-8</v>
      </c>
      <c r="BX71">
        <v>0</v>
      </c>
      <c r="BY71">
        <v>0</v>
      </c>
      <c r="BZ71">
        <v>6</v>
      </c>
      <c r="CA71">
        <v>10.8328974</v>
      </c>
      <c r="CB71">
        <v>10.8328974</v>
      </c>
      <c r="CC71">
        <v>0</v>
      </c>
      <c r="CD71">
        <v>1.687182068</v>
      </c>
      <c r="CE71">
        <v>1.687182068</v>
      </c>
      <c r="CF71">
        <v>0</v>
      </c>
      <c r="CG71">
        <v>0.91672484799999998</v>
      </c>
      <c r="CH71">
        <v>0.92192484799999996</v>
      </c>
      <c r="CI71">
        <v>-5.1999999999999998E-3</v>
      </c>
      <c r="CJ71">
        <v>2.5652725799999998E-3</v>
      </c>
      <c r="CK71">
        <v>1.06005692E-3</v>
      </c>
      <c r="CL71">
        <v>3.34441458E-4</v>
      </c>
      <c r="CM71" s="2">
        <v>7.7578727200000002E-8</v>
      </c>
      <c r="CN71">
        <v>0.85592039866667002</v>
      </c>
      <c r="CO71">
        <v>112.79012359133</v>
      </c>
      <c r="CP71">
        <v>0.43149115183589998</v>
      </c>
      <c r="CQ71">
        <v>0.43149115183589998</v>
      </c>
      <c r="CR71">
        <v>0</v>
      </c>
      <c r="CS71">
        <v>6.7203085840930002E-2</v>
      </c>
      <c r="CT71">
        <v>6.7203085840930002E-2</v>
      </c>
      <c r="CU71">
        <v>0</v>
      </c>
      <c r="CV71">
        <v>3.6514576477029E-2</v>
      </c>
      <c r="CW71">
        <v>3.6721700564583001E-2</v>
      </c>
      <c r="CX71">
        <v>-2.0712408755450999E-4</v>
      </c>
      <c r="CY71">
        <v>1.0217879662714E-4</v>
      </c>
      <c r="CZ71" s="2">
        <v>4.2223715829009002E-5</v>
      </c>
      <c r="DA71" s="2">
        <v>1.3321323428586999E-5</v>
      </c>
      <c r="DB71" s="2">
        <v>3.0900813624886002E-9</v>
      </c>
    </row>
    <row r="72" spans="1:106" x14ac:dyDescent="0.25">
      <c r="A72">
        <v>25868</v>
      </c>
      <c r="B72" t="s">
        <v>284</v>
      </c>
      <c r="C72">
        <v>50</v>
      </c>
      <c r="D72" t="s">
        <v>261</v>
      </c>
      <c r="E72">
        <v>2</v>
      </c>
      <c r="F72" t="s">
        <v>167</v>
      </c>
      <c r="G72">
        <v>31799.16</v>
      </c>
      <c r="H72" t="s">
        <v>0</v>
      </c>
      <c r="I72">
        <v>4</v>
      </c>
      <c r="J72">
        <v>31799.16</v>
      </c>
      <c r="L72">
        <v>92117.401014000003</v>
      </c>
      <c r="O72">
        <v>796826</v>
      </c>
      <c r="P72" t="s">
        <v>46</v>
      </c>
      <c r="Q72">
        <v>114</v>
      </c>
      <c r="R72" t="s">
        <v>262</v>
      </c>
      <c r="S72" t="s">
        <v>263</v>
      </c>
      <c r="T72">
        <v>27492</v>
      </c>
      <c r="V72">
        <v>2142711048</v>
      </c>
      <c r="W72" t="s">
        <v>290</v>
      </c>
      <c r="Y72">
        <v>3.2000000000000002E-3</v>
      </c>
      <c r="AF72" t="s">
        <v>29</v>
      </c>
      <c r="AG72" t="s">
        <v>30</v>
      </c>
      <c r="AH72" s="1">
        <v>1</v>
      </c>
      <c r="AI72">
        <v>3.2000000000000002E-3</v>
      </c>
      <c r="AJ72">
        <v>1200</v>
      </c>
      <c r="AK72">
        <v>3.84</v>
      </c>
      <c r="AM72">
        <v>3.84</v>
      </c>
      <c r="AN72">
        <v>105569.28</v>
      </c>
      <c r="AO72">
        <v>3.3198763740929</v>
      </c>
      <c r="AP72" t="s">
        <v>0</v>
      </c>
      <c r="AQ72" t="s">
        <v>264</v>
      </c>
      <c r="AR72">
        <v>30358</v>
      </c>
      <c r="AS72" t="s">
        <v>265</v>
      </c>
      <c r="AT72">
        <v>1</v>
      </c>
      <c r="AU72">
        <v>1</v>
      </c>
      <c r="AV72" t="s">
        <v>266</v>
      </c>
      <c r="AW72">
        <v>0</v>
      </c>
      <c r="AX72">
        <v>50</v>
      </c>
      <c r="AY72">
        <v>25</v>
      </c>
      <c r="AZ72" t="s">
        <v>291</v>
      </c>
      <c r="BA72">
        <v>50</v>
      </c>
      <c r="BC72">
        <v>3</v>
      </c>
      <c r="BE72">
        <v>3</v>
      </c>
      <c r="BG72">
        <v>0</v>
      </c>
      <c r="BH72">
        <v>100</v>
      </c>
      <c r="BI72">
        <v>0</v>
      </c>
      <c r="BK72">
        <v>37.190994000000003</v>
      </c>
      <c r="BL72">
        <v>37.162593999999999</v>
      </c>
      <c r="BM72">
        <v>2.8400000000000002E-2</v>
      </c>
      <c r="BN72">
        <v>18.207514</v>
      </c>
      <c r="BO72">
        <v>7.2260600000000004</v>
      </c>
      <c r="BP72">
        <v>10.981453999999999</v>
      </c>
      <c r="BQ72">
        <v>0.71844154000000005</v>
      </c>
      <c r="BR72">
        <v>1.9813453999999999</v>
      </c>
      <c r="BS72">
        <v>-1.26290386</v>
      </c>
      <c r="BT72">
        <v>9.9634045999999997E-3</v>
      </c>
      <c r="BU72">
        <v>4.6855995000000001E-3</v>
      </c>
      <c r="BV72">
        <v>1.2709163999999999E-3</v>
      </c>
      <c r="BW72" s="2">
        <v>2.4563071999999997E-7</v>
      </c>
      <c r="BX72">
        <v>0</v>
      </c>
      <c r="BY72">
        <v>0</v>
      </c>
      <c r="BZ72">
        <v>6</v>
      </c>
      <c r="CA72">
        <v>142.81341696000001</v>
      </c>
      <c r="CB72">
        <v>142.70436096</v>
      </c>
      <c r="CC72">
        <v>0.109056</v>
      </c>
      <c r="CD72">
        <v>69.916853759999995</v>
      </c>
      <c r="CE72">
        <v>27.7480704</v>
      </c>
      <c r="CF72">
        <v>42.168783359999999</v>
      </c>
      <c r="CG72">
        <v>2.7588155136000001</v>
      </c>
      <c r="CH72">
        <v>7.6083663359999996</v>
      </c>
      <c r="CI72">
        <v>-4.8495508224000003</v>
      </c>
      <c r="CJ72">
        <v>3.8259473664000003E-2</v>
      </c>
      <c r="CK72">
        <v>1.7992702079999999E-2</v>
      </c>
      <c r="CL72">
        <v>4.8803189760000002E-3</v>
      </c>
      <c r="CM72" s="2">
        <v>9.4322196480000004E-7</v>
      </c>
      <c r="CN72">
        <v>10.321512972800001</v>
      </c>
      <c r="CO72">
        <v>74.688596648360004</v>
      </c>
      <c r="CP72">
        <v>123.46950230963</v>
      </c>
      <c r="CQ72">
        <v>123.37521782061</v>
      </c>
      <c r="CR72">
        <v>9.4284489024238E-2</v>
      </c>
      <c r="CS72">
        <v>60.446695559566002</v>
      </c>
      <c r="CT72">
        <v>23.989625871777999</v>
      </c>
      <c r="CU72">
        <v>36.457069687788</v>
      </c>
      <c r="CV72">
        <v>2.3851370948129</v>
      </c>
      <c r="CW72">
        <v>6.5778217823776002</v>
      </c>
      <c r="CX72">
        <v>-4.1926846875647001</v>
      </c>
      <c r="CY72">
        <v>3.3077271537068999E-2</v>
      </c>
      <c r="CZ72">
        <v>1.5555611078511999E-2</v>
      </c>
      <c r="DA72">
        <v>4.2192853298072003E-3</v>
      </c>
      <c r="DB72" s="2">
        <v>8.1546362407943003E-7</v>
      </c>
    </row>
    <row r="73" spans="1:106" x14ac:dyDescent="0.25">
      <c r="A73">
        <v>25868</v>
      </c>
      <c r="B73" t="s">
        <v>284</v>
      </c>
      <c r="C73">
        <v>50</v>
      </c>
      <c r="D73" t="s">
        <v>261</v>
      </c>
      <c r="E73">
        <v>2</v>
      </c>
      <c r="F73" t="s">
        <v>167</v>
      </c>
      <c r="G73">
        <v>31799.16</v>
      </c>
      <c r="H73" t="s">
        <v>0</v>
      </c>
      <c r="I73">
        <v>4</v>
      </c>
      <c r="J73">
        <v>31799.16</v>
      </c>
      <c r="L73">
        <v>92117.401014000003</v>
      </c>
      <c r="O73">
        <v>796826</v>
      </c>
      <c r="P73" t="s">
        <v>46</v>
      </c>
      <c r="Q73">
        <v>114</v>
      </c>
      <c r="R73" t="s">
        <v>262</v>
      </c>
      <c r="S73" t="s">
        <v>263</v>
      </c>
      <c r="T73">
        <v>27492</v>
      </c>
      <c r="V73">
        <v>2142707274</v>
      </c>
      <c r="W73" t="s">
        <v>48</v>
      </c>
      <c r="Y73">
        <v>7.0000000000000007E-2</v>
      </c>
      <c r="AF73" t="s">
        <v>29</v>
      </c>
      <c r="AG73" t="s">
        <v>30</v>
      </c>
      <c r="AH73" s="1">
        <v>1</v>
      </c>
      <c r="AI73">
        <v>7.0000000000000007E-2</v>
      </c>
      <c r="AJ73">
        <v>2000</v>
      </c>
      <c r="AK73">
        <v>140</v>
      </c>
      <c r="AM73">
        <v>140</v>
      </c>
      <c r="AN73">
        <v>3848880</v>
      </c>
      <c r="AO73">
        <v>121.03715947214</v>
      </c>
      <c r="AP73" t="s">
        <v>0</v>
      </c>
      <c r="AQ73" t="s">
        <v>264</v>
      </c>
      <c r="AR73">
        <v>30358</v>
      </c>
      <c r="AS73" t="s">
        <v>265</v>
      </c>
      <c r="AT73">
        <v>2</v>
      </c>
      <c r="AU73">
        <v>1</v>
      </c>
      <c r="AV73" t="s">
        <v>266</v>
      </c>
      <c r="AW73">
        <v>0</v>
      </c>
      <c r="AX73">
        <v>50</v>
      </c>
      <c r="AY73">
        <v>50</v>
      </c>
      <c r="AZ73" t="s">
        <v>285</v>
      </c>
      <c r="BA73">
        <v>50</v>
      </c>
      <c r="BC73">
        <v>3</v>
      </c>
      <c r="BE73">
        <v>4</v>
      </c>
      <c r="BG73">
        <v>100</v>
      </c>
      <c r="BH73">
        <v>0</v>
      </c>
      <c r="BI73">
        <v>0</v>
      </c>
      <c r="BK73">
        <v>1.3382216</v>
      </c>
      <c r="BL73">
        <v>1.3382216</v>
      </c>
      <c r="BM73">
        <v>0</v>
      </c>
      <c r="BN73">
        <v>0.12393289</v>
      </c>
      <c r="BO73">
        <v>0.12393289</v>
      </c>
      <c r="BP73">
        <v>0</v>
      </c>
      <c r="BQ73">
        <v>0.15118186</v>
      </c>
      <c r="BR73">
        <v>0.15118186</v>
      </c>
      <c r="BS73">
        <v>0</v>
      </c>
      <c r="BT73">
        <v>3.1549675E-4</v>
      </c>
      <c r="BU73">
        <v>2.0401282E-4</v>
      </c>
      <c r="BV73" s="2">
        <v>4.8205521000000002E-5</v>
      </c>
      <c r="BW73" s="2">
        <v>4.8452447E-9</v>
      </c>
      <c r="BX73">
        <v>1</v>
      </c>
      <c r="BY73">
        <v>0</v>
      </c>
      <c r="BZ73">
        <v>6</v>
      </c>
      <c r="CA73">
        <v>187.351024</v>
      </c>
      <c r="CB73">
        <v>187.351024</v>
      </c>
      <c r="CC73">
        <v>0</v>
      </c>
      <c r="CD73">
        <v>17.3506046</v>
      </c>
      <c r="CE73">
        <v>17.3506046</v>
      </c>
      <c r="CF73">
        <v>0</v>
      </c>
      <c r="CG73">
        <v>21.165460400000001</v>
      </c>
      <c r="CH73">
        <v>21.165460400000001</v>
      </c>
      <c r="CI73">
        <v>0</v>
      </c>
      <c r="CJ73">
        <v>4.4169544999999998E-2</v>
      </c>
      <c r="CK73">
        <v>2.8561794800000002E-2</v>
      </c>
      <c r="CL73">
        <v>6.7487729399999998E-3</v>
      </c>
      <c r="CM73" s="2">
        <v>6.78334258E-7</v>
      </c>
      <c r="CN73">
        <v>15.661883533333</v>
      </c>
      <c r="CO73">
        <v>74.688596648360004</v>
      </c>
      <c r="CP73">
        <v>161.97454120826001</v>
      </c>
      <c r="CQ73">
        <v>161.97454120826001</v>
      </c>
      <c r="CR73">
        <v>0</v>
      </c>
      <c r="CS73">
        <v>15.000484970773</v>
      </c>
      <c r="CT73">
        <v>15.000484970773</v>
      </c>
      <c r="CU73">
        <v>0</v>
      </c>
      <c r="CV73">
        <v>18.298622898114001</v>
      </c>
      <c r="CW73">
        <v>18.298622898114001</v>
      </c>
      <c r="CX73">
        <v>0</v>
      </c>
      <c r="CY73">
        <v>3.8186830442691E-2</v>
      </c>
      <c r="CZ73">
        <v>2.4693132228699999E-2</v>
      </c>
      <c r="DA73">
        <v>5.8346593327144002E-3</v>
      </c>
      <c r="DB73" s="2">
        <v>5.8645465543542995E-7</v>
      </c>
    </row>
    <row r="74" spans="1:106" x14ac:dyDescent="0.25">
      <c r="A74">
        <v>25868</v>
      </c>
      <c r="B74" t="s">
        <v>284</v>
      </c>
      <c r="C74">
        <v>50</v>
      </c>
      <c r="D74" t="s">
        <v>261</v>
      </c>
      <c r="E74">
        <v>2</v>
      </c>
      <c r="F74" t="s">
        <v>167</v>
      </c>
      <c r="G74">
        <v>31799.16</v>
      </c>
      <c r="H74" t="s">
        <v>0</v>
      </c>
      <c r="I74">
        <v>4</v>
      </c>
      <c r="J74">
        <v>31799.16</v>
      </c>
      <c r="L74">
        <v>92117.401014000003</v>
      </c>
      <c r="O74">
        <v>796826</v>
      </c>
      <c r="P74" t="s">
        <v>46</v>
      </c>
      <c r="Q74">
        <v>114</v>
      </c>
      <c r="R74" t="s">
        <v>262</v>
      </c>
      <c r="S74" t="s">
        <v>263</v>
      </c>
      <c r="T74">
        <v>27492</v>
      </c>
      <c r="V74">
        <v>2142719798</v>
      </c>
      <c r="W74" t="s">
        <v>49</v>
      </c>
      <c r="Y74">
        <v>8.8000000000000005E-3</v>
      </c>
      <c r="AF74" t="s">
        <v>29</v>
      </c>
      <c r="AG74" t="s">
        <v>30</v>
      </c>
      <c r="AH74" s="1">
        <v>1</v>
      </c>
      <c r="AI74">
        <v>8.8000000000000005E-3</v>
      </c>
      <c r="AJ74">
        <v>300</v>
      </c>
      <c r="AK74">
        <v>2.64</v>
      </c>
      <c r="AM74">
        <v>2.64</v>
      </c>
      <c r="AN74">
        <v>72578.880000000005</v>
      </c>
      <c r="AO74">
        <v>2.2824150071889</v>
      </c>
      <c r="AP74" t="s">
        <v>0</v>
      </c>
      <c r="AQ74" t="s">
        <v>264</v>
      </c>
      <c r="AR74">
        <v>30358</v>
      </c>
      <c r="AS74" t="s">
        <v>265</v>
      </c>
      <c r="AT74">
        <v>3</v>
      </c>
      <c r="AU74">
        <v>1</v>
      </c>
      <c r="AV74" t="s">
        <v>266</v>
      </c>
      <c r="AW74">
        <v>0</v>
      </c>
      <c r="AX74">
        <v>50</v>
      </c>
      <c r="AY74">
        <v>25</v>
      </c>
      <c r="AZ74" t="s">
        <v>286</v>
      </c>
      <c r="BA74">
        <v>50</v>
      </c>
      <c r="BC74">
        <v>3</v>
      </c>
      <c r="BE74">
        <v>3</v>
      </c>
      <c r="BG74">
        <v>0</v>
      </c>
      <c r="BH74">
        <v>100</v>
      </c>
      <c r="BI74">
        <v>0</v>
      </c>
      <c r="BK74">
        <v>85.988403000000005</v>
      </c>
      <c r="BL74">
        <v>43.518402999999999</v>
      </c>
      <c r="BM74">
        <v>42.47</v>
      </c>
      <c r="BN74">
        <v>1.3022769000000001</v>
      </c>
      <c r="BO74">
        <v>1.3022769000000001</v>
      </c>
      <c r="BP74">
        <v>0</v>
      </c>
      <c r="BQ74">
        <v>2.8430924000000002</v>
      </c>
      <c r="BR74">
        <v>2.8640924000000001</v>
      </c>
      <c r="BS74">
        <v>-2.1000000000000001E-2</v>
      </c>
      <c r="BT74">
        <v>8.3217996000000006E-3</v>
      </c>
      <c r="BU74">
        <v>1.6064606999999999E-3</v>
      </c>
      <c r="BV74">
        <v>2.4785428000000001E-3</v>
      </c>
      <c r="BW74" s="2">
        <v>3.9116873999999998E-8</v>
      </c>
      <c r="BX74">
        <v>1</v>
      </c>
      <c r="BY74">
        <v>0</v>
      </c>
      <c r="BZ74">
        <v>6</v>
      </c>
      <c r="CA74">
        <v>227.00938392</v>
      </c>
      <c r="CB74">
        <v>114.88858392</v>
      </c>
      <c r="CC74">
        <v>112.1208</v>
      </c>
      <c r="CD74">
        <v>3.4380110159999999</v>
      </c>
      <c r="CE74">
        <v>3.4380110159999999</v>
      </c>
      <c r="CF74">
        <v>0</v>
      </c>
      <c r="CG74">
        <v>7.5057639360000001</v>
      </c>
      <c r="CH74">
        <v>7.5612039360000001</v>
      </c>
      <c r="CI74">
        <v>-5.5440000000000003E-2</v>
      </c>
      <c r="CJ74">
        <v>2.1969550944000001E-2</v>
      </c>
      <c r="CK74">
        <v>4.2410562479999999E-3</v>
      </c>
      <c r="CL74">
        <v>6.543352992E-3</v>
      </c>
      <c r="CM74" s="2">
        <v>1.0326854736E-7</v>
      </c>
      <c r="CN74">
        <v>11.7472135792</v>
      </c>
      <c r="CO74">
        <v>74.688596648360004</v>
      </c>
      <c r="CP74">
        <v>196.26122145139999</v>
      </c>
      <c r="CQ74">
        <v>99.327056096093003</v>
      </c>
      <c r="CR74">
        <v>96.934165355310995</v>
      </c>
      <c r="CS74">
        <v>2.9723363400754002</v>
      </c>
      <c r="CT74">
        <v>2.9723363400754002</v>
      </c>
      <c r="CU74">
        <v>0</v>
      </c>
      <c r="CV74">
        <v>6.4891167605845999</v>
      </c>
      <c r="CW74">
        <v>6.5370474757355996</v>
      </c>
      <c r="CX74">
        <v>-4.7930715150966002E-2</v>
      </c>
      <c r="CY74">
        <v>1.8993800293857999E-2</v>
      </c>
      <c r="CZ74">
        <v>3.6666100101390999E-3</v>
      </c>
      <c r="DA74">
        <v>5.6570632826798998E-3</v>
      </c>
      <c r="DB74" s="2">
        <v>8.9280940251916001E-8</v>
      </c>
    </row>
    <row r="75" spans="1:106" x14ac:dyDescent="0.25">
      <c r="A75">
        <v>25868</v>
      </c>
      <c r="B75" t="s">
        <v>284</v>
      </c>
      <c r="C75">
        <v>50</v>
      </c>
      <c r="D75" t="s">
        <v>261</v>
      </c>
      <c r="E75">
        <v>2</v>
      </c>
      <c r="F75" t="s">
        <v>167</v>
      </c>
      <c r="G75">
        <v>31799.16</v>
      </c>
      <c r="H75" t="s">
        <v>0</v>
      </c>
      <c r="I75">
        <v>4</v>
      </c>
      <c r="J75">
        <v>31799.16</v>
      </c>
      <c r="L75">
        <v>92117.401014000003</v>
      </c>
      <c r="O75">
        <v>796826</v>
      </c>
      <c r="P75" t="s">
        <v>46</v>
      </c>
      <c r="Q75">
        <v>114</v>
      </c>
      <c r="R75" t="s">
        <v>262</v>
      </c>
      <c r="S75" t="s">
        <v>263</v>
      </c>
      <c r="T75">
        <v>27492</v>
      </c>
      <c r="V75">
        <v>2142718134</v>
      </c>
      <c r="W75" t="s">
        <v>50</v>
      </c>
      <c r="Y75">
        <v>0.03</v>
      </c>
      <c r="AF75" t="s">
        <v>29</v>
      </c>
      <c r="AG75" t="s">
        <v>30</v>
      </c>
      <c r="AH75" s="1">
        <v>1</v>
      </c>
      <c r="AI75">
        <v>0.03</v>
      </c>
      <c r="AJ75">
        <v>11</v>
      </c>
      <c r="AK75">
        <v>0.33</v>
      </c>
      <c r="AM75">
        <v>0.33</v>
      </c>
      <c r="AN75">
        <v>9072.36</v>
      </c>
      <c r="AO75">
        <v>0.28530187589861</v>
      </c>
      <c r="AP75" t="s">
        <v>0</v>
      </c>
      <c r="AQ75" t="s">
        <v>264</v>
      </c>
      <c r="AR75">
        <v>30358</v>
      </c>
      <c r="AS75" t="s">
        <v>265</v>
      </c>
      <c r="AT75">
        <v>4</v>
      </c>
      <c r="AU75">
        <v>1</v>
      </c>
      <c r="AV75" t="s">
        <v>266</v>
      </c>
      <c r="AW75">
        <v>0</v>
      </c>
      <c r="AX75">
        <v>50</v>
      </c>
      <c r="AY75">
        <v>50</v>
      </c>
      <c r="AZ75" t="s">
        <v>285</v>
      </c>
      <c r="BA75">
        <v>50</v>
      </c>
      <c r="BC75">
        <v>4</v>
      </c>
      <c r="BE75">
        <v>3</v>
      </c>
      <c r="BG75">
        <v>0</v>
      </c>
      <c r="BH75">
        <v>100</v>
      </c>
      <c r="BI75">
        <v>0</v>
      </c>
      <c r="BK75">
        <v>98.895520000000005</v>
      </c>
      <c r="BL75">
        <v>58.895519999999998</v>
      </c>
      <c r="BM75">
        <v>40</v>
      </c>
      <c r="BN75">
        <v>0.95935762000000002</v>
      </c>
      <c r="BO75">
        <v>0.95935762000000002</v>
      </c>
      <c r="BP75">
        <v>0</v>
      </c>
      <c r="BQ75">
        <v>4.2053807000000001</v>
      </c>
      <c r="BR75">
        <v>4.2053807000000001</v>
      </c>
      <c r="BS75">
        <v>0</v>
      </c>
      <c r="BT75">
        <v>1.4900439E-2</v>
      </c>
      <c r="BU75">
        <v>2.6115595E-3</v>
      </c>
      <c r="BV75">
        <v>9.1377113000000003E-3</v>
      </c>
      <c r="BW75" s="2">
        <v>1.3195599999999999E-7</v>
      </c>
      <c r="BX75">
        <v>0</v>
      </c>
      <c r="BY75">
        <v>0</v>
      </c>
      <c r="BZ75">
        <v>6</v>
      </c>
      <c r="CA75">
        <v>32.635521599999997</v>
      </c>
      <c r="CB75">
        <v>19.435521600000001</v>
      </c>
      <c r="CC75">
        <v>13.2</v>
      </c>
      <c r="CD75">
        <v>0.31658801460000002</v>
      </c>
      <c r="CE75">
        <v>0.31658801460000002</v>
      </c>
      <c r="CF75">
        <v>0</v>
      </c>
      <c r="CG75">
        <v>1.387775631</v>
      </c>
      <c r="CH75">
        <v>1.387775631</v>
      </c>
      <c r="CI75">
        <v>0</v>
      </c>
      <c r="CJ75">
        <v>4.91714487E-3</v>
      </c>
      <c r="CK75">
        <v>8.6181463499999998E-4</v>
      </c>
      <c r="CL75">
        <v>3.0154447290000001E-3</v>
      </c>
      <c r="CM75" s="2">
        <v>4.3545479999999998E-8</v>
      </c>
      <c r="CN75">
        <v>1.9747659744999999</v>
      </c>
      <c r="CO75">
        <v>74.688596648360004</v>
      </c>
      <c r="CP75">
        <v>28.215077373968001</v>
      </c>
      <c r="CQ75">
        <v>16.803002338024001</v>
      </c>
      <c r="CR75">
        <v>11.412075035944</v>
      </c>
      <c r="CS75">
        <v>0.27370652864362</v>
      </c>
      <c r="CT75">
        <v>0.27370652864362</v>
      </c>
      <c r="CU75">
        <v>0</v>
      </c>
      <c r="CV75">
        <v>1.1998030025777999</v>
      </c>
      <c r="CW75">
        <v>1.1998030025777999</v>
      </c>
      <c r="CX75">
        <v>0</v>
      </c>
      <c r="CY75">
        <v>4.2511231984128E-3</v>
      </c>
      <c r="CZ75">
        <v>7.4508282437082995E-4</v>
      </c>
      <c r="DA75">
        <v>2.6070061753099001E-3</v>
      </c>
      <c r="DB75" s="2">
        <v>3.7647294336076998E-8</v>
      </c>
    </row>
    <row r="76" spans="1:106" x14ac:dyDescent="0.25">
      <c r="A76">
        <v>25868</v>
      </c>
      <c r="B76" t="s">
        <v>284</v>
      </c>
      <c r="C76">
        <v>50</v>
      </c>
      <c r="D76" t="s">
        <v>261</v>
      </c>
      <c r="E76">
        <v>2</v>
      </c>
      <c r="F76" t="s">
        <v>167</v>
      </c>
      <c r="G76">
        <v>31799.16</v>
      </c>
      <c r="H76" t="s">
        <v>0</v>
      </c>
      <c r="I76">
        <v>4</v>
      </c>
      <c r="J76">
        <v>31799.16</v>
      </c>
      <c r="L76">
        <v>92117.401014000003</v>
      </c>
      <c r="O76">
        <v>796826</v>
      </c>
      <c r="P76" t="s">
        <v>46</v>
      </c>
      <c r="Q76">
        <v>114</v>
      </c>
      <c r="R76" t="s">
        <v>262</v>
      </c>
      <c r="S76" t="s">
        <v>263</v>
      </c>
      <c r="T76">
        <v>27492</v>
      </c>
      <c r="V76">
        <v>2142732302</v>
      </c>
      <c r="W76" t="s">
        <v>51</v>
      </c>
      <c r="Y76">
        <v>1E-3</v>
      </c>
      <c r="AF76" t="s">
        <v>29</v>
      </c>
      <c r="AG76" t="s">
        <v>30</v>
      </c>
      <c r="AH76" s="1">
        <v>1</v>
      </c>
      <c r="AI76">
        <v>1E-3</v>
      </c>
      <c r="AJ76">
        <v>300</v>
      </c>
      <c r="AK76">
        <v>0.3</v>
      </c>
      <c r="AM76">
        <v>0.3</v>
      </c>
      <c r="AN76">
        <v>8247.6</v>
      </c>
      <c r="AO76">
        <v>0.25936534172601</v>
      </c>
      <c r="AP76" t="s">
        <v>0</v>
      </c>
      <c r="AQ76" t="s">
        <v>264</v>
      </c>
      <c r="AR76">
        <v>30358</v>
      </c>
      <c r="AS76" t="s">
        <v>265</v>
      </c>
      <c r="AT76">
        <v>5</v>
      </c>
      <c r="AU76">
        <v>1</v>
      </c>
      <c r="AV76" t="s">
        <v>266</v>
      </c>
      <c r="AW76">
        <v>0</v>
      </c>
      <c r="AX76">
        <v>50</v>
      </c>
      <c r="AY76">
        <v>25</v>
      </c>
      <c r="AZ76" t="s">
        <v>286</v>
      </c>
      <c r="BA76">
        <v>50</v>
      </c>
      <c r="BC76">
        <v>3</v>
      </c>
      <c r="BE76">
        <v>3</v>
      </c>
      <c r="BG76">
        <v>0</v>
      </c>
      <c r="BH76">
        <v>100</v>
      </c>
      <c r="BI76">
        <v>0</v>
      </c>
      <c r="BK76">
        <v>85.988403000000005</v>
      </c>
      <c r="BL76">
        <v>43.518402999999999</v>
      </c>
      <c r="BM76">
        <v>42.47</v>
      </c>
      <c r="BN76">
        <v>1.3022769000000001</v>
      </c>
      <c r="BO76">
        <v>1.3022769000000001</v>
      </c>
      <c r="BP76">
        <v>0</v>
      </c>
      <c r="BQ76">
        <v>2.8430924000000002</v>
      </c>
      <c r="BR76">
        <v>2.8640924000000001</v>
      </c>
      <c r="BS76">
        <v>-2.1000000000000001E-2</v>
      </c>
      <c r="BT76">
        <v>8.3217996000000006E-3</v>
      </c>
      <c r="BU76">
        <v>1.6064606999999999E-3</v>
      </c>
      <c r="BV76">
        <v>2.4785428000000001E-3</v>
      </c>
      <c r="BW76" s="2">
        <v>3.9116873999999998E-8</v>
      </c>
      <c r="BX76">
        <v>1</v>
      </c>
      <c r="BY76">
        <v>0</v>
      </c>
      <c r="BZ76">
        <v>6</v>
      </c>
      <c r="CA76">
        <v>25.796520900000001</v>
      </c>
      <c r="CB76">
        <v>13.055520899999999</v>
      </c>
      <c r="CC76">
        <v>12.741</v>
      </c>
      <c r="CD76">
        <v>0.39068307000000002</v>
      </c>
      <c r="CE76">
        <v>0.39068307000000002</v>
      </c>
      <c r="CF76">
        <v>0</v>
      </c>
      <c r="CG76">
        <v>0.85292771999999994</v>
      </c>
      <c r="CH76">
        <v>0.85922772000000003</v>
      </c>
      <c r="CI76">
        <v>-6.3E-3</v>
      </c>
      <c r="CJ76">
        <v>2.4965398799999998E-3</v>
      </c>
      <c r="CK76">
        <v>4.8193820999999998E-4</v>
      </c>
      <c r="CL76">
        <v>7.4356284000000003E-4</v>
      </c>
      <c r="CM76" s="2">
        <v>1.1735062200000001E-8</v>
      </c>
      <c r="CN76">
        <v>1.3349106340000001</v>
      </c>
      <c r="CO76">
        <v>74.688596648360004</v>
      </c>
      <c r="CP76">
        <v>22.302411528568999</v>
      </c>
      <c r="CQ76">
        <v>11.287165465465</v>
      </c>
      <c r="CR76">
        <v>11.015246063104</v>
      </c>
      <c r="CS76">
        <v>0.33776549319039001</v>
      </c>
      <c r="CT76">
        <v>0.33776549319039001</v>
      </c>
      <c r="CU76">
        <v>0</v>
      </c>
      <c r="CV76">
        <v>0.73739963188461999</v>
      </c>
      <c r="CW76">
        <v>0.74284630406086005</v>
      </c>
      <c r="CX76">
        <v>-5.4466721762462004E-3</v>
      </c>
      <c r="CY76">
        <v>2.1583863970293998E-3</v>
      </c>
      <c r="CZ76">
        <v>4.1666022842489999E-4</v>
      </c>
      <c r="DA76">
        <v>6.4284810030453996E-4</v>
      </c>
      <c r="DB76" s="2">
        <v>1.0145561392263E-8</v>
      </c>
    </row>
    <row r="77" spans="1:106" x14ac:dyDescent="0.25">
      <c r="A77">
        <v>25868</v>
      </c>
      <c r="B77" t="s">
        <v>284</v>
      </c>
      <c r="C77">
        <v>50</v>
      </c>
      <c r="D77" t="s">
        <v>261</v>
      </c>
      <c r="E77">
        <v>2</v>
      </c>
      <c r="F77" t="s">
        <v>167</v>
      </c>
      <c r="G77">
        <v>31799.16</v>
      </c>
      <c r="H77" t="s">
        <v>0</v>
      </c>
      <c r="I77">
        <v>4</v>
      </c>
      <c r="J77">
        <v>31799.16</v>
      </c>
      <c r="L77">
        <v>92117.401014000003</v>
      </c>
      <c r="O77">
        <v>796826</v>
      </c>
      <c r="P77" t="s">
        <v>46</v>
      </c>
      <c r="Q77">
        <v>114</v>
      </c>
      <c r="R77" t="s">
        <v>262</v>
      </c>
      <c r="S77" t="s">
        <v>263</v>
      </c>
      <c r="T77">
        <v>27492</v>
      </c>
      <c r="W77" t="s">
        <v>52</v>
      </c>
      <c r="Y77">
        <v>0.10199999999999999</v>
      </c>
      <c r="AF77" t="s">
        <v>29</v>
      </c>
      <c r="AG77" t="s">
        <v>30</v>
      </c>
      <c r="AH77" s="1">
        <v>1</v>
      </c>
      <c r="AI77">
        <v>0.10199999999999999</v>
      </c>
      <c r="AJ77">
        <v>1800</v>
      </c>
      <c r="AK77">
        <v>183.6</v>
      </c>
      <c r="AM77">
        <v>183.6</v>
      </c>
      <c r="AN77">
        <v>5047531.2</v>
      </c>
      <c r="AO77">
        <v>158.73158913632</v>
      </c>
      <c r="AP77" t="s">
        <v>0</v>
      </c>
      <c r="AQ77" t="s">
        <v>264</v>
      </c>
      <c r="AR77">
        <v>30358</v>
      </c>
      <c r="AS77" t="s">
        <v>265</v>
      </c>
      <c r="AT77">
        <v>6</v>
      </c>
      <c r="AU77">
        <v>1</v>
      </c>
      <c r="AV77" t="s">
        <v>266</v>
      </c>
      <c r="AW77">
        <v>0</v>
      </c>
      <c r="AX77">
        <v>50</v>
      </c>
      <c r="AY77">
        <v>50</v>
      </c>
      <c r="AZ77" t="s">
        <v>285</v>
      </c>
      <c r="BA77">
        <v>50</v>
      </c>
      <c r="BC77">
        <v>2</v>
      </c>
      <c r="BE77">
        <v>3</v>
      </c>
      <c r="BG77">
        <v>100</v>
      </c>
      <c r="BH77">
        <v>0</v>
      </c>
      <c r="BI77">
        <v>0</v>
      </c>
      <c r="BK77">
        <v>0.19234907000000001</v>
      </c>
      <c r="BL77">
        <v>0.19234907000000001</v>
      </c>
      <c r="BM77">
        <v>0</v>
      </c>
      <c r="BN77">
        <v>5.6653924999999997E-3</v>
      </c>
      <c r="BO77">
        <v>5.6653924999999997E-3</v>
      </c>
      <c r="BP77">
        <v>0</v>
      </c>
      <c r="BQ77">
        <v>2.0272476000000001E-2</v>
      </c>
      <c r="BR77">
        <v>2.0272476000000001E-2</v>
      </c>
      <c r="BS77">
        <v>0</v>
      </c>
      <c r="BT77" s="2">
        <v>6.7317381999999998E-5</v>
      </c>
      <c r="BU77" s="2">
        <v>2.8679226999999999E-5</v>
      </c>
      <c r="BV77" s="2">
        <v>8.6913223999999992E-6</v>
      </c>
      <c r="BW77" s="2">
        <v>9.4606329999999995E-10</v>
      </c>
      <c r="BX77">
        <v>0</v>
      </c>
      <c r="BY77">
        <v>0</v>
      </c>
      <c r="BZ77">
        <v>6</v>
      </c>
      <c r="CA77">
        <v>35.315289251999999</v>
      </c>
      <c r="CB77">
        <v>35.315289251999999</v>
      </c>
      <c r="CC77">
        <v>0</v>
      </c>
      <c r="CD77">
        <v>1.040166063</v>
      </c>
      <c r="CE77">
        <v>1.040166063</v>
      </c>
      <c r="CF77">
        <v>0</v>
      </c>
      <c r="CG77">
        <v>3.7220265935999999</v>
      </c>
      <c r="CH77">
        <v>3.7220265935999999</v>
      </c>
      <c r="CI77">
        <v>0</v>
      </c>
      <c r="CJ77">
        <v>1.23594713352E-2</v>
      </c>
      <c r="CK77">
        <v>5.2655060772000004E-3</v>
      </c>
      <c r="CL77">
        <v>1.5957267926400001E-3</v>
      </c>
      <c r="CM77" s="2">
        <v>1.7369722188E-7</v>
      </c>
      <c r="CN77">
        <v>3.4454435853600001</v>
      </c>
      <c r="CO77">
        <v>74.688596648360004</v>
      </c>
      <c r="CP77">
        <v>30.531873549993001</v>
      </c>
      <c r="CQ77">
        <v>30.531873549993001</v>
      </c>
      <c r="CR77">
        <v>0</v>
      </c>
      <c r="CS77">
        <v>0.89927675460597001</v>
      </c>
      <c r="CT77">
        <v>0.89927675460597001</v>
      </c>
      <c r="CU77">
        <v>0</v>
      </c>
      <c r="CV77">
        <v>3.2178823312078002</v>
      </c>
      <c r="CW77">
        <v>3.2178823312078002</v>
      </c>
      <c r="CX77">
        <v>0</v>
      </c>
      <c r="CY77">
        <v>1.0685395021356001E-2</v>
      </c>
      <c r="CZ77">
        <v>4.5522992769111998E-3</v>
      </c>
      <c r="DA77">
        <v>1.3795874162481001E-3</v>
      </c>
      <c r="DB77" s="2">
        <v>1.5017013103254999E-7</v>
      </c>
    </row>
    <row r="78" spans="1:106" x14ac:dyDescent="0.25">
      <c r="A78">
        <v>25868</v>
      </c>
      <c r="B78" t="s">
        <v>284</v>
      </c>
      <c r="C78">
        <v>50</v>
      </c>
      <c r="D78" t="s">
        <v>261</v>
      </c>
      <c r="E78">
        <v>2</v>
      </c>
      <c r="F78" t="s">
        <v>167</v>
      </c>
      <c r="G78">
        <v>31799.16</v>
      </c>
      <c r="H78" t="s">
        <v>0</v>
      </c>
      <c r="I78">
        <v>4</v>
      </c>
      <c r="J78">
        <v>31799.16</v>
      </c>
      <c r="L78">
        <v>92117.401014000003</v>
      </c>
      <c r="O78">
        <v>796826</v>
      </c>
      <c r="P78" t="s">
        <v>46</v>
      </c>
      <c r="Q78">
        <v>114</v>
      </c>
      <c r="R78" t="s">
        <v>262</v>
      </c>
      <c r="S78" t="s">
        <v>263</v>
      </c>
      <c r="T78">
        <v>27492</v>
      </c>
      <c r="W78" t="s">
        <v>11</v>
      </c>
      <c r="Y78">
        <v>0.22</v>
      </c>
      <c r="AF78" t="s">
        <v>29</v>
      </c>
      <c r="AG78" t="s">
        <v>30</v>
      </c>
      <c r="AH78" s="1">
        <v>1</v>
      </c>
      <c r="AI78">
        <v>0.22</v>
      </c>
      <c r="AJ78">
        <v>475</v>
      </c>
      <c r="AK78">
        <v>104.5</v>
      </c>
      <c r="AM78">
        <v>104.5</v>
      </c>
      <c r="AN78">
        <v>2872914</v>
      </c>
      <c r="AO78">
        <v>90.345594034558999</v>
      </c>
      <c r="AP78" t="s">
        <v>0</v>
      </c>
      <c r="AQ78" t="s">
        <v>264</v>
      </c>
      <c r="AR78">
        <v>30358</v>
      </c>
      <c r="AS78" t="s">
        <v>265</v>
      </c>
      <c r="AT78">
        <v>7</v>
      </c>
      <c r="AU78">
        <v>1</v>
      </c>
      <c r="AV78" t="s">
        <v>266</v>
      </c>
      <c r="AW78">
        <v>0</v>
      </c>
      <c r="AX78">
        <v>50</v>
      </c>
      <c r="AY78">
        <v>50</v>
      </c>
      <c r="AZ78" t="s">
        <v>285</v>
      </c>
      <c r="BA78">
        <v>50</v>
      </c>
      <c r="BC78">
        <v>1</v>
      </c>
      <c r="BE78">
        <v>1</v>
      </c>
      <c r="BG78">
        <v>0</v>
      </c>
      <c r="BH78">
        <v>100</v>
      </c>
      <c r="BI78">
        <v>0</v>
      </c>
      <c r="BK78">
        <v>9.2021829000000004</v>
      </c>
      <c r="BL78">
        <v>8.8285628999999997</v>
      </c>
      <c r="BM78">
        <v>0.37362000000000001</v>
      </c>
      <c r="BN78">
        <v>17.684211000000001</v>
      </c>
      <c r="BO78">
        <v>0.63333099999999998</v>
      </c>
      <c r="BP78">
        <v>17.050879999999999</v>
      </c>
      <c r="BQ78">
        <v>-0.32528815</v>
      </c>
      <c r="BR78">
        <v>0.51016185000000003</v>
      </c>
      <c r="BS78">
        <v>-0.83545000000000003</v>
      </c>
      <c r="BT78">
        <v>2.8813898000000001E-3</v>
      </c>
      <c r="BU78">
        <v>1.3804499E-3</v>
      </c>
      <c r="BV78">
        <v>1.0392354E-3</v>
      </c>
      <c r="BW78" s="2">
        <v>4.4076999999999998E-8</v>
      </c>
      <c r="BX78">
        <v>1</v>
      </c>
      <c r="BY78">
        <v>0</v>
      </c>
      <c r="BZ78">
        <v>6</v>
      </c>
      <c r="CA78">
        <v>961.62811305000002</v>
      </c>
      <c r="CB78">
        <v>922.58482304999995</v>
      </c>
      <c r="CC78">
        <v>39.043289999999999</v>
      </c>
      <c r="CD78">
        <v>1848.0000494999999</v>
      </c>
      <c r="CE78">
        <v>66.183089499999994</v>
      </c>
      <c r="CF78">
        <v>1781.8169600000001</v>
      </c>
      <c r="CG78">
        <v>-33.992611674999999</v>
      </c>
      <c r="CH78">
        <v>53.311913324999999</v>
      </c>
      <c r="CI78">
        <v>-87.304524999999998</v>
      </c>
      <c r="CJ78">
        <v>0.30110523410000001</v>
      </c>
      <c r="CK78">
        <v>0.14425701455000001</v>
      </c>
      <c r="CL78">
        <v>0.1086000993</v>
      </c>
      <c r="CM78" s="2">
        <v>4.6060465000000001E-6</v>
      </c>
      <c r="CN78">
        <v>66.536199702499999</v>
      </c>
      <c r="CO78">
        <v>74.688596648360004</v>
      </c>
      <c r="CP78">
        <v>831.37668051516005</v>
      </c>
      <c r="CQ78">
        <v>797.62175967197004</v>
      </c>
      <c r="CR78">
        <v>33.754920843191996</v>
      </c>
      <c r="CS78">
        <v>1597.6905478275</v>
      </c>
      <c r="CT78">
        <v>57.218665415502002</v>
      </c>
      <c r="CU78">
        <v>1540.471882412</v>
      </c>
      <c r="CV78">
        <v>-29.388351144152999</v>
      </c>
      <c r="CW78">
        <v>46.090875392020003</v>
      </c>
      <c r="CX78">
        <v>-75.479226536173002</v>
      </c>
      <c r="CY78">
        <v>0.26032087312612001</v>
      </c>
      <c r="CZ78">
        <v>0.12471756625045</v>
      </c>
      <c r="DA78">
        <v>9.3890339554743005E-2</v>
      </c>
      <c r="DB78" s="2">
        <v>3.9821627482613001E-6</v>
      </c>
    </row>
    <row r="79" spans="1:106" x14ac:dyDescent="0.25">
      <c r="A79">
        <v>25868</v>
      </c>
      <c r="B79" t="s">
        <v>284</v>
      </c>
      <c r="C79">
        <v>50</v>
      </c>
      <c r="D79" t="s">
        <v>261</v>
      </c>
      <c r="E79">
        <v>2</v>
      </c>
      <c r="F79" t="s">
        <v>167</v>
      </c>
      <c r="G79">
        <v>31799.16</v>
      </c>
      <c r="H79" t="s">
        <v>0</v>
      </c>
      <c r="I79">
        <v>4</v>
      </c>
      <c r="J79">
        <v>31799.16</v>
      </c>
      <c r="L79">
        <v>92117.401014000003</v>
      </c>
      <c r="O79">
        <v>796825</v>
      </c>
      <c r="P79" t="s">
        <v>53</v>
      </c>
      <c r="Q79">
        <v>114</v>
      </c>
      <c r="R79" t="s">
        <v>262</v>
      </c>
      <c r="S79" t="s">
        <v>263</v>
      </c>
      <c r="T79">
        <v>7186</v>
      </c>
      <c r="W79" t="s">
        <v>47</v>
      </c>
      <c r="Y79">
        <v>3.0000000000000001E-3</v>
      </c>
      <c r="AF79" t="s">
        <v>29</v>
      </c>
      <c r="AG79" t="s">
        <v>30</v>
      </c>
      <c r="AH79" s="1">
        <v>1</v>
      </c>
      <c r="AI79">
        <v>3.0000000000000001E-3</v>
      </c>
      <c r="AJ79">
        <v>1300</v>
      </c>
      <c r="AK79">
        <v>3.9</v>
      </c>
      <c r="AM79">
        <v>3.9</v>
      </c>
      <c r="AN79">
        <v>28025.4</v>
      </c>
      <c r="AO79">
        <v>0.88132516707988995</v>
      </c>
      <c r="AP79" t="s">
        <v>0</v>
      </c>
      <c r="AQ79" t="s">
        <v>264</v>
      </c>
      <c r="AR79">
        <v>30358</v>
      </c>
      <c r="AS79" t="s">
        <v>265</v>
      </c>
      <c r="AT79">
        <v>1</v>
      </c>
      <c r="AU79">
        <v>1</v>
      </c>
      <c r="AV79" t="s">
        <v>266</v>
      </c>
      <c r="AW79">
        <v>1</v>
      </c>
      <c r="AX79">
        <v>25</v>
      </c>
      <c r="AY79">
        <v>25</v>
      </c>
      <c r="AZ79" t="s">
        <v>291</v>
      </c>
      <c r="BC79">
        <v>3</v>
      </c>
      <c r="BE79">
        <v>3</v>
      </c>
      <c r="BG79">
        <v>0</v>
      </c>
      <c r="BH79">
        <v>100</v>
      </c>
      <c r="BI79">
        <v>0</v>
      </c>
      <c r="BK79">
        <v>74.882283999999999</v>
      </c>
      <c r="BL79">
        <v>60.591424000000004</v>
      </c>
      <c r="BM79">
        <v>14.29086</v>
      </c>
      <c r="BN79">
        <v>3.3276493999999999</v>
      </c>
      <c r="BO79">
        <v>3.3276493999999999</v>
      </c>
      <c r="BP79">
        <v>0</v>
      </c>
      <c r="BQ79">
        <v>3.9844141999999998</v>
      </c>
      <c r="BR79">
        <v>3.9844141999999998</v>
      </c>
      <c r="BS79">
        <v>0</v>
      </c>
      <c r="BT79">
        <v>1.2954569000000001E-2</v>
      </c>
      <c r="BU79">
        <v>4.9636428999999998E-3</v>
      </c>
      <c r="BV79">
        <v>2.3394813000000001E-3</v>
      </c>
      <c r="BW79" s="2">
        <v>4.7952012999999999E-7</v>
      </c>
      <c r="BX79">
        <v>0</v>
      </c>
      <c r="BY79">
        <v>0</v>
      </c>
      <c r="BZ79">
        <v>6</v>
      </c>
      <c r="CA79">
        <v>584.08181520000005</v>
      </c>
      <c r="CB79">
        <v>472.6131072</v>
      </c>
      <c r="CC79">
        <v>111.46870800000001</v>
      </c>
      <c r="CD79">
        <v>25.955665320000001</v>
      </c>
      <c r="CE79">
        <v>25.955665320000001</v>
      </c>
      <c r="CF79">
        <v>0</v>
      </c>
      <c r="CG79">
        <v>31.07843076</v>
      </c>
      <c r="CH79">
        <v>31.07843076</v>
      </c>
      <c r="CI79">
        <v>0</v>
      </c>
      <c r="CJ79">
        <v>0.1010456382</v>
      </c>
      <c r="CK79">
        <v>3.871641462E-2</v>
      </c>
      <c r="CL79">
        <v>1.8247954140000001E-2</v>
      </c>
      <c r="CM79" s="2">
        <v>3.7402570140000001E-6</v>
      </c>
      <c r="CN79">
        <v>38.121884059999999</v>
      </c>
      <c r="CO79">
        <v>109.67754512926</v>
      </c>
      <c r="CP79">
        <v>131.99128291525</v>
      </c>
      <c r="CQ79">
        <v>106.80149376081999</v>
      </c>
      <c r="CR79">
        <v>25.189789154429999</v>
      </c>
      <c r="CS79">
        <v>5.8654823268765997</v>
      </c>
      <c r="CT79">
        <v>5.8654823268765997</v>
      </c>
      <c r="CU79">
        <v>0</v>
      </c>
      <c r="CV79">
        <v>7.0231290210608996</v>
      </c>
      <c r="CW79">
        <v>7.0231290210608996</v>
      </c>
      <c r="CX79">
        <v>0</v>
      </c>
      <c r="CY79">
        <v>2.2834375376745999E-2</v>
      </c>
      <c r="CZ79">
        <v>8.7491668163347993E-3</v>
      </c>
      <c r="DA79">
        <v>4.1236874952054999E-3</v>
      </c>
      <c r="DB79" s="2">
        <v>8.4522631738084003E-7</v>
      </c>
    </row>
    <row r="80" spans="1:106" x14ac:dyDescent="0.25">
      <c r="A80">
        <v>25868</v>
      </c>
      <c r="B80" t="s">
        <v>284</v>
      </c>
      <c r="C80">
        <v>50</v>
      </c>
      <c r="D80" t="s">
        <v>261</v>
      </c>
      <c r="E80">
        <v>2</v>
      </c>
      <c r="F80" t="s">
        <v>167</v>
      </c>
      <c r="G80">
        <v>31799.16</v>
      </c>
      <c r="H80" t="s">
        <v>0</v>
      </c>
      <c r="I80">
        <v>4</v>
      </c>
      <c r="J80">
        <v>31799.16</v>
      </c>
      <c r="L80">
        <v>92117.401014000003</v>
      </c>
      <c r="O80">
        <v>796825</v>
      </c>
      <c r="P80" t="s">
        <v>53</v>
      </c>
      <c r="Q80">
        <v>114</v>
      </c>
      <c r="R80" t="s">
        <v>262</v>
      </c>
      <c r="S80" t="s">
        <v>263</v>
      </c>
      <c r="T80">
        <v>7186</v>
      </c>
      <c r="V80">
        <v>2142707274</v>
      </c>
      <c r="W80" t="s">
        <v>48</v>
      </c>
      <c r="Y80">
        <v>7.0000000000000007E-2</v>
      </c>
      <c r="AF80" t="s">
        <v>29</v>
      </c>
      <c r="AG80" t="s">
        <v>30</v>
      </c>
      <c r="AH80" s="1">
        <v>1</v>
      </c>
      <c r="AI80">
        <v>7.0000000000000007E-2</v>
      </c>
      <c r="AJ80">
        <v>2000</v>
      </c>
      <c r="AK80">
        <v>140</v>
      </c>
      <c r="AM80">
        <v>140</v>
      </c>
      <c r="AN80">
        <v>1006040</v>
      </c>
      <c r="AO80">
        <v>31.637313690047002</v>
      </c>
      <c r="AP80" t="s">
        <v>0</v>
      </c>
      <c r="AQ80" t="s">
        <v>264</v>
      </c>
      <c r="AR80">
        <v>30358</v>
      </c>
      <c r="AS80" t="s">
        <v>265</v>
      </c>
      <c r="AT80">
        <v>2</v>
      </c>
      <c r="AU80">
        <v>1</v>
      </c>
      <c r="AV80" t="s">
        <v>266</v>
      </c>
      <c r="AW80">
        <v>0</v>
      </c>
      <c r="AX80">
        <v>50</v>
      </c>
      <c r="AY80">
        <v>50</v>
      </c>
      <c r="AZ80" t="s">
        <v>285</v>
      </c>
      <c r="BC80">
        <v>3</v>
      </c>
      <c r="BE80">
        <v>4</v>
      </c>
      <c r="BG80">
        <v>100</v>
      </c>
      <c r="BH80">
        <v>0</v>
      </c>
      <c r="BI80">
        <v>0</v>
      </c>
      <c r="BK80">
        <v>1.3382216</v>
      </c>
      <c r="BL80">
        <v>1.3382216</v>
      </c>
      <c r="BM80">
        <v>0</v>
      </c>
      <c r="BN80">
        <v>0.12393289</v>
      </c>
      <c r="BO80">
        <v>0.12393289</v>
      </c>
      <c r="BP80">
        <v>0</v>
      </c>
      <c r="BQ80">
        <v>0.15118186</v>
      </c>
      <c r="BR80">
        <v>0.15118186</v>
      </c>
      <c r="BS80">
        <v>0</v>
      </c>
      <c r="BT80">
        <v>3.1549675E-4</v>
      </c>
      <c r="BU80">
        <v>2.0401282E-4</v>
      </c>
      <c r="BV80" s="2">
        <v>4.8205521000000002E-5</v>
      </c>
      <c r="BW80" s="2">
        <v>4.8452447E-9</v>
      </c>
      <c r="BX80">
        <v>1</v>
      </c>
      <c r="BY80">
        <v>0</v>
      </c>
      <c r="BZ80">
        <v>6</v>
      </c>
      <c r="CA80">
        <v>187.351024</v>
      </c>
      <c r="CB80">
        <v>187.351024</v>
      </c>
      <c r="CC80">
        <v>0</v>
      </c>
      <c r="CD80">
        <v>17.3506046</v>
      </c>
      <c r="CE80">
        <v>17.3506046</v>
      </c>
      <c r="CF80">
        <v>0</v>
      </c>
      <c r="CG80">
        <v>21.165460400000001</v>
      </c>
      <c r="CH80">
        <v>21.165460400000001</v>
      </c>
      <c r="CI80">
        <v>0</v>
      </c>
      <c r="CJ80">
        <v>4.4169544999999998E-2</v>
      </c>
      <c r="CK80">
        <v>2.8561794800000002E-2</v>
      </c>
      <c r="CL80">
        <v>6.7487729399999998E-3</v>
      </c>
      <c r="CM80" s="2">
        <v>6.78334258E-7</v>
      </c>
      <c r="CN80">
        <v>15.661883533333</v>
      </c>
      <c r="CO80">
        <v>109.67754512926</v>
      </c>
      <c r="CP80">
        <v>42.337736545996997</v>
      </c>
      <c r="CQ80">
        <v>42.337736545996997</v>
      </c>
      <c r="CR80">
        <v>0</v>
      </c>
      <c r="CS80">
        <v>3.9209037174441002</v>
      </c>
      <c r="CT80">
        <v>3.9209037174441002</v>
      </c>
      <c r="CU80">
        <v>0</v>
      </c>
      <c r="CV80">
        <v>4.7829879290647996</v>
      </c>
      <c r="CW80">
        <v>4.7829879290647996</v>
      </c>
      <c r="CX80">
        <v>0</v>
      </c>
      <c r="CY80">
        <v>9.9814696479404007E-3</v>
      </c>
      <c r="CZ80">
        <v>6.4544175831311003E-3</v>
      </c>
      <c r="DA80">
        <v>1.5250931894692E-3</v>
      </c>
      <c r="DB80" s="2">
        <v>1.5329052647894E-7</v>
      </c>
    </row>
    <row r="81" spans="1:106" x14ac:dyDescent="0.25">
      <c r="A81">
        <v>25868</v>
      </c>
      <c r="B81" t="s">
        <v>284</v>
      </c>
      <c r="C81">
        <v>50</v>
      </c>
      <c r="D81" t="s">
        <v>261</v>
      </c>
      <c r="E81">
        <v>2</v>
      </c>
      <c r="F81" t="s">
        <v>167</v>
      </c>
      <c r="G81">
        <v>31799.16</v>
      </c>
      <c r="H81" t="s">
        <v>0</v>
      </c>
      <c r="I81">
        <v>4</v>
      </c>
      <c r="J81">
        <v>31799.16</v>
      </c>
      <c r="L81">
        <v>92117.401014000003</v>
      </c>
      <c r="O81">
        <v>796825</v>
      </c>
      <c r="P81" t="s">
        <v>53</v>
      </c>
      <c r="Q81">
        <v>114</v>
      </c>
      <c r="R81" t="s">
        <v>262</v>
      </c>
      <c r="S81" t="s">
        <v>263</v>
      </c>
      <c r="T81">
        <v>7186</v>
      </c>
      <c r="V81">
        <v>2142719798</v>
      </c>
      <c r="W81" t="s">
        <v>49</v>
      </c>
      <c r="Y81">
        <v>8.8000000000000005E-3</v>
      </c>
      <c r="AF81" t="s">
        <v>29</v>
      </c>
      <c r="AG81" t="s">
        <v>30</v>
      </c>
      <c r="AH81" s="1">
        <v>1</v>
      </c>
      <c r="AI81">
        <v>8.8000000000000005E-3</v>
      </c>
      <c r="AJ81">
        <v>300</v>
      </c>
      <c r="AK81">
        <v>2.64</v>
      </c>
      <c r="AM81">
        <v>2.64</v>
      </c>
      <c r="AN81">
        <v>18971.04</v>
      </c>
      <c r="AO81">
        <v>0.59658934386946005</v>
      </c>
      <c r="AP81" t="s">
        <v>0</v>
      </c>
      <c r="AQ81" t="s">
        <v>264</v>
      </c>
      <c r="AR81">
        <v>30358</v>
      </c>
      <c r="AS81" t="s">
        <v>265</v>
      </c>
      <c r="AT81">
        <v>3</v>
      </c>
      <c r="AU81">
        <v>1</v>
      </c>
      <c r="AV81" t="s">
        <v>266</v>
      </c>
      <c r="AW81">
        <v>1</v>
      </c>
      <c r="AX81">
        <v>25</v>
      </c>
      <c r="AY81">
        <v>25</v>
      </c>
      <c r="AZ81" t="s">
        <v>286</v>
      </c>
      <c r="BC81">
        <v>3</v>
      </c>
      <c r="BE81">
        <v>3</v>
      </c>
      <c r="BG81">
        <v>0</v>
      </c>
      <c r="BH81">
        <v>100</v>
      </c>
      <c r="BI81">
        <v>0</v>
      </c>
      <c r="BK81">
        <v>85.988403000000005</v>
      </c>
      <c r="BL81">
        <v>43.518402999999999</v>
      </c>
      <c r="BM81">
        <v>42.47</v>
      </c>
      <c r="BN81">
        <v>1.3022769000000001</v>
      </c>
      <c r="BO81">
        <v>1.3022769000000001</v>
      </c>
      <c r="BP81">
        <v>0</v>
      </c>
      <c r="BQ81">
        <v>2.8430924000000002</v>
      </c>
      <c r="BR81">
        <v>2.8640924000000001</v>
      </c>
      <c r="BS81">
        <v>-2.1000000000000001E-2</v>
      </c>
      <c r="BT81">
        <v>8.3217996000000006E-3</v>
      </c>
      <c r="BU81">
        <v>1.6064606999999999E-3</v>
      </c>
      <c r="BV81">
        <v>2.4785428000000001E-3</v>
      </c>
      <c r="BW81" s="2">
        <v>3.9116873999999998E-8</v>
      </c>
      <c r="BX81">
        <v>1</v>
      </c>
      <c r="BY81">
        <v>0</v>
      </c>
      <c r="BZ81">
        <v>6</v>
      </c>
      <c r="CA81">
        <v>454.01876784000001</v>
      </c>
      <c r="CB81">
        <v>229.77716784</v>
      </c>
      <c r="CC81">
        <v>224.24160000000001</v>
      </c>
      <c r="CD81">
        <v>6.8760220319999998</v>
      </c>
      <c r="CE81">
        <v>6.8760220319999998</v>
      </c>
      <c r="CF81">
        <v>0</v>
      </c>
      <c r="CG81">
        <v>15.066967871999999</v>
      </c>
      <c r="CH81">
        <v>15.122407872</v>
      </c>
      <c r="CI81">
        <v>-5.5440000000000003E-2</v>
      </c>
      <c r="CJ81">
        <v>4.3939101888000001E-2</v>
      </c>
      <c r="CK81">
        <v>8.4821124959999997E-3</v>
      </c>
      <c r="CL81">
        <v>1.3086705984E-2</v>
      </c>
      <c r="CM81" s="2">
        <v>2.0653709471999999E-7</v>
      </c>
      <c r="CN81">
        <v>23.503667158399999</v>
      </c>
      <c r="CO81">
        <v>109.67754512926</v>
      </c>
      <c r="CP81">
        <v>102.59952985231</v>
      </c>
      <c r="CQ81">
        <v>51.925230984034002</v>
      </c>
      <c r="CR81">
        <v>50.674298868271997</v>
      </c>
      <c r="CS81">
        <v>1.5538490426147</v>
      </c>
      <c r="CT81">
        <v>1.5538490426147</v>
      </c>
      <c r="CU81">
        <v>0</v>
      </c>
      <c r="CV81">
        <v>3.4048456351738001</v>
      </c>
      <c r="CW81">
        <v>3.4173740113950002</v>
      </c>
      <c r="CX81">
        <v>-1.2528376221259E-2</v>
      </c>
      <c r="CY81">
        <v>9.9293939263543005E-3</v>
      </c>
      <c r="CZ81">
        <v>1.9167946699301E-3</v>
      </c>
      <c r="DA81">
        <v>2.9573444456088001E-3</v>
      </c>
      <c r="DB81" s="2">
        <v>4.6673420387769002E-8</v>
      </c>
    </row>
    <row r="82" spans="1:106" x14ac:dyDescent="0.25">
      <c r="A82">
        <v>25868</v>
      </c>
      <c r="B82" t="s">
        <v>284</v>
      </c>
      <c r="C82">
        <v>50</v>
      </c>
      <c r="D82" t="s">
        <v>261</v>
      </c>
      <c r="E82">
        <v>2</v>
      </c>
      <c r="F82" t="s">
        <v>167</v>
      </c>
      <c r="G82">
        <v>31799.16</v>
      </c>
      <c r="H82" t="s">
        <v>0</v>
      </c>
      <c r="I82">
        <v>4</v>
      </c>
      <c r="J82">
        <v>31799.16</v>
      </c>
      <c r="L82">
        <v>92117.401014000003</v>
      </c>
      <c r="O82">
        <v>796825</v>
      </c>
      <c r="P82" t="s">
        <v>53</v>
      </c>
      <c r="Q82">
        <v>114</v>
      </c>
      <c r="R82" t="s">
        <v>262</v>
      </c>
      <c r="S82" t="s">
        <v>263</v>
      </c>
      <c r="T82">
        <v>7186</v>
      </c>
      <c r="V82">
        <v>2142718134</v>
      </c>
      <c r="W82" t="s">
        <v>50</v>
      </c>
      <c r="Y82">
        <v>0.03</v>
      </c>
      <c r="AF82" t="s">
        <v>29</v>
      </c>
      <c r="AG82" t="s">
        <v>30</v>
      </c>
      <c r="AH82" s="1">
        <v>1</v>
      </c>
      <c r="AI82">
        <v>0.03</v>
      </c>
      <c r="AJ82">
        <v>11</v>
      </c>
      <c r="AK82">
        <v>0.33</v>
      </c>
      <c r="AM82">
        <v>0.33</v>
      </c>
      <c r="AN82">
        <v>2371.38</v>
      </c>
      <c r="AO82">
        <v>7.4573667983683006E-2</v>
      </c>
      <c r="AP82" t="s">
        <v>0</v>
      </c>
      <c r="AQ82" t="s">
        <v>264</v>
      </c>
      <c r="AR82">
        <v>30358</v>
      </c>
      <c r="AS82" t="s">
        <v>265</v>
      </c>
      <c r="AT82">
        <v>4</v>
      </c>
      <c r="AU82">
        <v>1</v>
      </c>
      <c r="AV82" t="s">
        <v>266</v>
      </c>
      <c r="AW82">
        <v>0</v>
      </c>
      <c r="AX82">
        <v>50</v>
      </c>
      <c r="AY82">
        <v>50</v>
      </c>
      <c r="AZ82" t="s">
        <v>285</v>
      </c>
      <c r="BC82">
        <v>4</v>
      </c>
      <c r="BE82">
        <v>3</v>
      </c>
      <c r="BG82">
        <v>0</v>
      </c>
      <c r="BH82">
        <v>100</v>
      </c>
      <c r="BI82">
        <v>0</v>
      </c>
      <c r="BK82">
        <v>98.895520000000005</v>
      </c>
      <c r="BL82">
        <v>58.895519999999998</v>
      </c>
      <c r="BM82">
        <v>40</v>
      </c>
      <c r="BN82">
        <v>0.95935762000000002</v>
      </c>
      <c r="BO82">
        <v>0.95935762000000002</v>
      </c>
      <c r="BP82">
        <v>0</v>
      </c>
      <c r="BQ82">
        <v>4.2053807000000001</v>
      </c>
      <c r="BR82">
        <v>4.2053807000000001</v>
      </c>
      <c r="BS82">
        <v>0</v>
      </c>
      <c r="BT82">
        <v>1.4900439E-2</v>
      </c>
      <c r="BU82">
        <v>2.6115595E-3</v>
      </c>
      <c r="BV82">
        <v>9.1377113000000003E-3</v>
      </c>
      <c r="BW82" s="2">
        <v>1.3195599999999999E-7</v>
      </c>
      <c r="BX82">
        <v>0</v>
      </c>
      <c r="BY82">
        <v>0</v>
      </c>
      <c r="BZ82">
        <v>6</v>
      </c>
      <c r="CA82">
        <v>32.635521599999997</v>
      </c>
      <c r="CB82">
        <v>19.435521600000001</v>
      </c>
      <c r="CC82">
        <v>13.2</v>
      </c>
      <c r="CD82">
        <v>0.31658801460000002</v>
      </c>
      <c r="CE82">
        <v>0.31658801460000002</v>
      </c>
      <c r="CF82">
        <v>0</v>
      </c>
      <c r="CG82">
        <v>1.387775631</v>
      </c>
      <c r="CH82">
        <v>1.387775631</v>
      </c>
      <c r="CI82">
        <v>0</v>
      </c>
      <c r="CJ82">
        <v>4.91714487E-3</v>
      </c>
      <c r="CK82">
        <v>8.6181463499999998E-4</v>
      </c>
      <c r="CL82">
        <v>3.0154447290000001E-3</v>
      </c>
      <c r="CM82" s="2">
        <v>4.3545479999999998E-8</v>
      </c>
      <c r="CN82">
        <v>1.9747659744999999</v>
      </c>
      <c r="CO82">
        <v>109.67754512926</v>
      </c>
      <c r="CP82">
        <v>7.3750016735535997</v>
      </c>
      <c r="CQ82">
        <v>4.3920549542062997</v>
      </c>
      <c r="CR82">
        <v>2.9829467193473</v>
      </c>
      <c r="CS82">
        <v>7.1542816631496003E-2</v>
      </c>
      <c r="CT82">
        <v>7.1542816631496003E-2</v>
      </c>
      <c r="CU82">
        <v>0</v>
      </c>
      <c r="CV82">
        <v>0.31361066406679</v>
      </c>
      <c r="CW82">
        <v>0.31361066406679</v>
      </c>
      <c r="CX82">
        <v>0</v>
      </c>
      <c r="CY82">
        <v>1.1111803907971E-3</v>
      </c>
      <c r="CZ82">
        <v>1.9475357107263E-4</v>
      </c>
      <c r="DA82">
        <v>6.8143264861694004E-4</v>
      </c>
      <c r="DB82" s="2">
        <v>9.8404429324547999E-9</v>
      </c>
    </row>
    <row r="83" spans="1:106" x14ac:dyDescent="0.25">
      <c r="A83">
        <v>25868</v>
      </c>
      <c r="B83" t="s">
        <v>284</v>
      </c>
      <c r="C83">
        <v>50</v>
      </c>
      <c r="D83" t="s">
        <v>261</v>
      </c>
      <c r="E83">
        <v>2</v>
      </c>
      <c r="F83" t="s">
        <v>167</v>
      </c>
      <c r="G83">
        <v>31799.16</v>
      </c>
      <c r="H83" t="s">
        <v>0</v>
      </c>
      <c r="I83">
        <v>4</v>
      </c>
      <c r="J83">
        <v>31799.16</v>
      </c>
      <c r="L83">
        <v>92117.401014000003</v>
      </c>
      <c r="O83">
        <v>796825</v>
      </c>
      <c r="P83" t="s">
        <v>53</v>
      </c>
      <c r="Q83">
        <v>114</v>
      </c>
      <c r="R83" t="s">
        <v>262</v>
      </c>
      <c r="S83" t="s">
        <v>263</v>
      </c>
      <c r="T83">
        <v>7186</v>
      </c>
      <c r="V83">
        <v>2142732302</v>
      </c>
      <c r="W83" t="s">
        <v>51</v>
      </c>
      <c r="Y83">
        <v>1E-3</v>
      </c>
      <c r="AF83" t="s">
        <v>29</v>
      </c>
      <c r="AG83" t="s">
        <v>30</v>
      </c>
      <c r="AH83" s="1">
        <v>1</v>
      </c>
      <c r="AI83">
        <v>1E-3</v>
      </c>
      <c r="AJ83">
        <v>300</v>
      </c>
      <c r="AK83">
        <v>0.3</v>
      </c>
      <c r="AM83">
        <v>0.3</v>
      </c>
      <c r="AN83">
        <v>2155.8000000000002</v>
      </c>
      <c r="AO83">
        <v>6.7794243621529998E-2</v>
      </c>
      <c r="AP83" t="s">
        <v>0</v>
      </c>
      <c r="AQ83" t="s">
        <v>264</v>
      </c>
      <c r="AR83">
        <v>30358</v>
      </c>
      <c r="AS83" t="s">
        <v>265</v>
      </c>
      <c r="AT83">
        <v>5</v>
      </c>
      <c r="AU83">
        <v>1</v>
      </c>
      <c r="AV83" t="s">
        <v>266</v>
      </c>
      <c r="AW83">
        <v>1</v>
      </c>
      <c r="AX83">
        <v>25</v>
      </c>
      <c r="AY83">
        <v>25</v>
      </c>
      <c r="AZ83" t="s">
        <v>286</v>
      </c>
      <c r="BC83">
        <v>3</v>
      </c>
      <c r="BE83">
        <v>3</v>
      </c>
      <c r="BG83">
        <v>0</v>
      </c>
      <c r="BH83">
        <v>100</v>
      </c>
      <c r="BI83">
        <v>0</v>
      </c>
      <c r="BK83">
        <v>85.988403000000005</v>
      </c>
      <c r="BL83">
        <v>43.518402999999999</v>
      </c>
      <c r="BM83">
        <v>42.47</v>
      </c>
      <c r="BN83">
        <v>1.3022769000000001</v>
      </c>
      <c r="BO83">
        <v>1.3022769000000001</v>
      </c>
      <c r="BP83">
        <v>0</v>
      </c>
      <c r="BQ83">
        <v>2.8430924000000002</v>
      </c>
      <c r="BR83">
        <v>2.8640924000000001</v>
      </c>
      <c r="BS83">
        <v>-2.1000000000000001E-2</v>
      </c>
      <c r="BT83">
        <v>8.3217996000000006E-3</v>
      </c>
      <c r="BU83">
        <v>1.6064606999999999E-3</v>
      </c>
      <c r="BV83">
        <v>2.4785428000000001E-3</v>
      </c>
      <c r="BW83" s="2">
        <v>3.9116873999999998E-8</v>
      </c>
      <c r="BX83">
        <v>1</v>
      </c>
      <c r="BY83">
        <v>0</v>
      </c>
      <c r="BZ83">
        <v>6</v>
      </c>
      <c r="CA83">
        <v>51.593041800000002</v>
      </c>
      <c r="CB83">
        <v>26.111041799999999</v>
      </c>
      <c r="CC83">
        <v>25.481999999999999</v>
      </c>
      <c r="CD83">
        <v>0.78136614000000004</v>
      </c>
      <c r="CE83">
        <v>0.78136614000000004</v>
      </c>
      <c r="CF83">
        <v>0</v>
      </c>
      <c r="CG83">
        <v>1.7121554400000001</v>
      </c>
      <c r="CH83">
        <v>1.7184554400000001</v>
      </c>
      <c r="CI83">
        <v>-6.3E-3</v>
      </c>
      <c r="CJ83">
        <v>4.9930797599999997E-3</v>
      </c>
      <c r="CK83">
        <v>9.6387641999999996E-4</v>
      </c>
      <c r="CL83">
        <v>1.4871256800000001E-3</v>
      </c>
      <c r="CM83" s="2">
        <v>2.3470124400000001E-8</v>
      </c>
      <c r="CN83">
        <v>2.670871268</v>
      </c>
      <c r="CO83">
        <v>109.67754512926</v>
      </c>
      <c r="CP83">
        <v>11.659037483217</v>
      </c>
      <c r="CQ83">
        <v>5.9005944300037996</v>
      </c>
      <c r="CR83">
        <v>5.7584430532126998</v>
      </c>
      <c r="CS83">
        <v>0.17657375484258001</v>
      </c>
      <c r="CT83">
        <v>0.17657375484258001</v>
      </c>
      <c r="CU83">
        <v>0</v>
      </c>
      <c r="CV83">
        <v>0.38691427672429002</v>
      </c>
      <c r="CW83">
        <v>0.38833795584033998</v>
      </c>
      <c r="CX83">
        <v>-1.4236791160521E-3</v>
      </c>
      <c r="CY83">
        <v>1.1283402189039E-3</v>
      </c>
      <c r="CZ83">
        <v>2.1781757612842999E-4</v>
      </c>
      <c r="DA83">
        <v>3.3606186881917998E-4</v>
      </c>
      <c r="DB83" s="2">
        <v>5.3037977713374001E-9</v>
      </c>
    </row>
    <row r="84" spans="1:106" x14ac:dyDescent="0.25">
      <c r="A84">
        <v>25868</v>
      </c>
      <c r="B84" t="s">
        <v>284</v>
      </c>
      <c r="C84">
        <v>50</v>
      </c>
      <c r="D84" t="s">
        <v>261</v>
      </c>
      <c r="E84">
        <v>2</v>
      </c>
      <c r="F84" t="s">
        <v>167</v>
      </c>
      <c r="G84">
        <v>31799.16</v>
      </c>
      <c r="H84" t="s">
        <v>0</v>
      </c>
      <c r="I84">
        <v>4</v>
      </c>
      <c r="J84">
        <v>31799.16</v>
      </c>
      <c r="L84">
        <v>92117.401014000003</v>
      </c>
      <c r="O84">
        <v>796825</v>
      </c>
      <c r="P84" t="s">
        <v>53</v>
      </c>
      <c r="Q84">
        <v>114</v>
      </c>
      <c r="R84" t="s">
        <v>262</v>
      </c>
      <c r="S84" t="s">
        <v>263</v>
      </c>
      <c r="T84">
        <v>7186</v>
      </c>
      <c r="W84" t="s">
        <v>52</v>
      </c>
      <c r="Y84">
        <v>7.6999999999999999E-2</v>
      </c>
      <c r="AF84" t="s">
        <v>29</v>
      </c>
      <c r="AG84" t="s">
        <v>30</v>
      </c>
      <c r="AH84" s="1">
        <v>1</v>
      </c>
      <c r="AI84">
        <v>7.6999999999999999E-2</v>
      </c>
      <c r="AJ84">
        <v>1800</v>
      </c>
      <c r="AK84">
        <v>138.6</v>
      </c>
      <c r="AM84">
        <v>138.6</v>
      </c>
      <c r="AN84">
        <v>995979.6</v>
      </c>
      <c r="AO84">
        <v>31.320940553147</v>
      </c>
      <c r="AP84" t="s">
        <v>0</v>
      </c>
      <c r="AQ84" t="s">
        <v>264</v>
      </c>
      <c r="AR84">
        <v>30358</v>
      </c>
      <c r="AS84" t="s">
        <v>265</v>
      </c>
      <c r="AT84">
        <v>6</v>
      </c>
      <c r="AU84">
        <v>1</v>
      </c>
      <c r="AV84" t="s">
        <v>266</v>
      </c>
      <c r="AW84">
        <v>0</v>
      </c>
      <c r="AX84">
        <v>50</v>
      </c>
      <c r="AY84">
        <v>50</v>
      </c>
      <c r="AZ84" t="s">
        <v>285</v>
      </c>
      <c r="BC84">
        <v>2</v>
      </c>
      <c r="BE84">
        <v>3</v>
      </c>
      <c r="BG84">
        <v>100</v>
      </c>
      <c r="BH84">
        <v>0</v>
      </c>
      <c r="BI84">
        <v>0</v>
      </c>
      <c r="BK84">
        <v>0.19234907000000001</v>
      </c>
      <c r="BL84">
        <v>0.19234907000000001</v>
      </c>
      <c r="BM84">
        <v>0</v>
      </c>
      <c r="BN84">
        <v>5.6653924999999997E-3</v>
      </c>
      <c r="BO84">
        <v>5.6653924999999997E-3</v>
      </c>
      <c r="BP84">
        <v>0</v>
      </c>
      <c r="BQ84">
        <v>2.0272476000000001E-2</v>
      </c>
      <c r="BR84">
        <v>2.0272476000000001E-2</v>
      </c>
      <c r="BS84">
        <v>0</v>
      </c>
      <c r="BT84" s="2">
        <v>6.7317381999999998E-5</v>
      </c>
      <c r="BU84" s="2">
        <v>2.8679226999999999E-5</v>
      </c>
      <c r="BV84" s="2">
        <v>8.6913223999999992E-6</v>
      </c>
      <c r="BW84" s="2">
        <v>9.4606329999999995E-10</v>
      </c>
      <c r="BX84">
        <v>0</v>
      </c>
      <c r="BY84">
        <v>0</v>
      </c>
      <c r="BZ84">
        <v>6</v>
      </c>
      <c r="CA84">
        <v>26.659581102000001</v>
      </c>
      <c r="CB84">
        <v>26.659581102000001</v>
      </c>
      <c r="CC84">
        <v>0</v>
      </c>
      <c r="CD84">
        <v>0.78522340049999995</v>
      </c>
      <c r="CE84">
        <v>0.78522340049999995</v>
      </c>
      <c r="CF84">
        <v>0</v>
      </c>
      <c r="CG84">
        <v>2.8097651736000002</v>
      </c>
      <c r="CH84">
        <v>2.8097651736000002</v>
      </c>
      <c r="CI84">
        <v>0</v>
      </c>
      <c r="CJ84">
        <v>9.3301891452000005E-3</v>
      </c>
      <c r="CK84">
        <v>3.9749408622000004E-3</v>
      </c>
      <c r="CL84">
        <v>1.20461728464E-3</v>
      </c>
      <c r="CM84" s="2">
        <v>1.3112437338E-7</v>
      </c>
      <c r="CN84">
        <v>2.6009721183600001</v>
      </c>
      <c r="CO84">
        <v>109.67754512926</v>
      </c>
      <c r="CP84">
        <v>6.0245537869231001</v>
      </c>
      <c r="CQ84">
        <v>6.0245537869231001</v>
      </c>
      <c r="CR84">
        <v>0</v>
      </c>
      <c r="CS84">
        <v>0.17744542170274</v>
      </c>
      <c r="CT84">
        <v>0.17744542170274</v>
      </c>
      <c r="CU84">
        <v>0</v>
      </c>
      <c r="CV84">
        <v>0.63495301566108997</v>
      </c>
      <c r="CW84">
        <v>0.63495301566108997</v>
      </c>
      <c r="CX84">
        <v>0</v>
      </c>
      <c r="CY84">
        <v>2.1084437198154999E-3</v>
      </c>
      <c r="CZ84">
        <v>8.9826036397719995E-4</v>
      </c>
      <c r="DA84">
        <v>2.7222039221863002E-4</v>
      </c>
      <c r="DB84" s="2">
        <v>2.9631592378814001E-8</v>
      </c>
    </row>
    <row r="85" spans="1:106" x14ac:dyDescent="0.25">
      <c r="A85">
        <v>25868</v>
      </c>
      <c r="B85" t="s">
        <v>284</v>
      </c>
      <c r="C85">
        <v>50</v>
      </c>
      <c r="D85" t="s">
        <v>261</v>
      </c>
      <c r="E85">
        <v>2</v>
      </c>
      <c r="F85" t="s">
        <v>167</v>
      </c>
      <c r="G85">
        <v>31799.16</v>
      </c>
      <c r="H85" t="s">
        <v>0</v>
      </c>
      <c r="I85">
        <v>4</v>
      </c>
      <c r="J85">
        <v>31799.16</v>
      </c>
      <c r="L85">
        <v>92117.401014000003</v>
      </c>
      <c r="O85">
        <v>796825</v>
      </c>
      <c r="P85" t="s">
        <v>53</v>
      </c>
      <c r="Q85">
        <v>114</v>
      </c>
      <c r="R85" t="s">
        <v>262</v>
      </c>
      <c r="S85" t="s">
        <v>263</v>
      </c>
      <c r="T85">
        <v>7186</v>
      </c>
      <c r="W85" t="s">
        <v>16</v>
      </c>
      <c r="Y85">
        <v>0.2</v>
      </c>
      <c r="AF85" t="s">
        <v>29</v>
      </c>
      <c r="AG85" t="s">
        <v>30</v>
      </c>
      <c r="AH85" s="1">
        <v>1</v>
      </c>
      <c r="AI85">
        <v>0.2</v>
      </c>
      <c r="AJ85">
        <v>2325</v>
      </c>
      <c r="AK85">
        <v>465</v>
      </c>
      <c r="AM85">
        <v>465</v>
      </c>
      <c r="AN85">
        <v>3341490</v>
      </c>
      <c r="AO85">
        <v>105.08107761337</v>
      </c>
      <c r="AP85" t="s">
        <v>0</v>
      </c>
      <c r="AQ85" t="s">
        <v>264</v>
      </c>
      <c r="AR85">
        <v>30358</v>
      </c>
      <c r="AS85" t="s">
        <v>265</v>
      </c>
      <c r="AT85">
        <v>7</v>
      </c>
      <c r="AU85">
        <v>1</v>
      </c>
      <c r="AV85" t="s">
        <v>266</v>
      </c>
      <c r="AW85">
        <v>0</v>
      </c>
      <c r="AX85">
        <v>100</v>
      </c>
      <c r="AY85">
        <v>100</v>
      </c>
      <c r="AZ85" t="s">
        <v>267</v>
      </c>
      <c r="BK85">
        <v>1.5660049</v>
      </c>
      <c r="BL85">
        <v>1.5660049</v>
      </c>
      <c r="BM85">
        <v>0</v>
      </c>
      <c r="BN85">
        <v>4.7475960999999997E-2</v>
      </c>
      <c r="BO85">
        <v>4.7475960999999997E-2</v>
      </c>
      <c r="BP85">
        <v>0</v>
      </c>
      <c r="BQ85">
        <v>0.15291231999999999</v>
      </c>
      <c r="BR85">
        <v>0.15291231999999999</v>
      </c>
      <c r="BS85">
        <v>0</v>
      </c>
      <c r="BT85">
        <v>3.9132148000000001E-4</v>
      </c>
      <c r="BU85">
        <v>2.4656103E-4</v>
      </c>
      <c r="BV85" s="2">
        <v>7.7190705E-5</v>
      </c>
      <c r="BW85" s="2">
        <v>4.5130751999999996E-9</v>
      </c>
      <c r="BX85">
        <v>1</v>
      </c>
      <c r="BY85">
        <v>0</v>
      </c>
      <c r="BZ85">
        <v>6</v>
      </c>
      <c r="CA85">
        <v>728.19227850000004</v>
      </c>
      <c r="CB85">
        <v>728.19227850000004</v>
      </c>
      <c r="CC85">
        <v>0</v>
      </c>
      <c r="CD85">
        <v>22.076321865000001</v>
      </c>
      <c r="CE85">
        <v>22.076321865000001</v>
      </c>
      <c r="CF85">
        <v>0</v>
      </c>
      <c r="CG85">
        <v>71.104228800000001</v>
      </c>
      <c r="CH85">
        <v>71.104228800000001</v>
      </c>
      <c r="CI85">
        <v>0</v>
      </c>
      <c r="CJ85">
        <v>0.1819644882</v>
      </c>
      <c r="CK85">
        <v>0.11465087894999999</v>
      </c>
      <c r="CL85">
        <v>3.5893677824999998E-2</v>
      </c>
      <c r="CM85" s="2">
        <v>2.0985799679999999E-6</v>
      </c>
      <c r="CN85">
        <v>60.385712509999998</v>
      </c>
      <c r="CO85">
        <v>109.67754512926</v>
      </c>
      <c r="CP85">
        <v>164.55748243982001</v>
      </c>
      <c r="CQ85">
        <v>164.55748243982001</v>
      </c>
      <c r="CR85">
        <v>0</v>
      </c>
      <c r="CS85">
        <v>4.9888251426104002</v>
      </c>
      <c r="CT85">
        <v>4.9888251426104002</v>
      </c>
      <c r="CU85">
        <v>0</v>
      </c>
      <c r="CV85">
        <v>16.068191365960999</v>
      </c>
      <c r="CW85">
        <v>16.068191365960999</v>
      </c>
      <c r="CX85">
        <v>0</v>
      </c>
      <c r="CY85">
        <v>4.1120482811658997E-2</v>
      </c>
      <c r="CZ85">
        <v>2.5908898729863E-2</v>
      </c>
      <c r="DA85">
        <v>8.1112824631357997E-3</v>
      </c>
      <c r="DB85" s="2">
        <v>4.7423880536618002E-7</v>
      </c>
    </row>
    <row r="86" spans="1:106" x14ac:dyDescent="0.25">
      <c r="A86">
        <v>25868</v>
      </c>
      <c r="B86" t="s">
        <v>284</v>
      </c>
      <c r="C86">
        <v>50</v>
      </c>
      <c r="D86" t="s">
        <v>261</v>
      </c>
      <c r="E86">
        <v>2</v>
      </c>
      <c r="F86" t="s">
        <v>167</v>
      </c>
      <c r="G86">
        <v>31799.16</v>
      </c>
      <c r="H86" t="s">
        <v>0</v>
      </c>
      <c r="I86">
        <v>4</v>
      </c>
      <c r="J86">
        <v>31799.16</v>
      </c>
      <c r="L86">
        <v>92117.401014000003</v>
      </c>
      <c r="O86">
        <v>796825</v>
      </c>
      <c r="P86" t="s">
        <v>53</v>
      </c>
      <c r="Q86">
        <v>114</v>
      </c>
      <c r="R86" t="s">
        <v>262</v>
      </c>
      <c r="S86" t="s">
        <v>263</v>
      </c>
      <c r="T86">
        <v>7186</v>
      </c>
      <c r="W86" t="s">
        <v>54</v>
      </c>
      <c r="Y86">
        <v>4.0000000000000001E-3</v>
      </c>
      <c r="AF86" t="s">
        <v>29</v>
      </c>
      <c r="AG86" t="s">
        <v>30</v>
      </c>
      <c r="AH86" s="1">
        <v>1</v>
      </c>
      <c r="AI86">
        <v>4.0000000000000001E-3</v>
      </c>
      <c r="AJ86">
        <v>1000</v>
      </c>
      <c r="AK86">
        <v>4</v>
      </c>
      <c r="AM86">
        <v>4</v>
      </c>
      <c r="AN86">
        <v>28744</v>
      </c>
      <c r="AO86">
        <v>0.90392324828706005</v>
      </c>
      <c r="AP86" t="s">
        <v>0</v>
      </c>
      <c r="AQ86" t="s">
        <v>264</v>
      </c>
      <c r="AR86">
        <v>30358</v>
      </c>
      <c r="AS86" t="s">
        <v>265</v>
      </c>
      <c r="AT86">
        <v>8</v>
      </c>
      <c r="AU86">
        <v>1</v>
      </c>
      <c r="AV86" t="s">
        <v>266</v>
      </c>
      <c r="AW86">
        <v>1</v>
      </c>
      <c r="AX86">
        <v>35</v>
      </c>
      <c r="AY86">
        <v>35</v>
      </c>
      <c r="AZ86" t="s">
        <v>287</v>
      </c>
      <c r="BC86">
        <v>2</v>
      </c>
      <c r="BE86">
        <v>3</v>
      </c>
      <c r="BG86">
        <v>100</v>
      </c>
      <c r="BH86">
        <v>0</v>
      </c>
      <c r="BI86">
        <v>0</v>
      </c>
      <c r="BK86">
        <v>2.0824897999999998</v>
      </c>
      <c r="BL86">
        <v>2.0824897999999998</v>
      </c>
      <c r="BM86">
        <v>0</v>
      </c>
      <c r="BN86">
        <v>0.22890157999999999</v>
      </c>
      <c r="BO86">
        <v>0.22890157999999999</v>
      </c>
      <c r="BP86">
        <v>0</v>
      </c>
      <c r="BQ86">
        <v>0.12708958000000001</v>
      </c>
      <c r="BR86">
        <v>0.12708958000000001</v>
      </c>
      <c r="BS86">
        <v>0</v>
      </c>
      <c r="BT86">
        <v>3.434423E-4</v>
      </c>
      <c r="BU86">
        <v>1.5250263999999999E-4</v>
      </c>
      <c r="BV86" s="2">
        <v>4.4826800000000003E-5</v>
      </c>
      <c r="BW86" s="2">
        <v>1.0404857E-8</v>
      </c>
      <c r="BX86">
        <v>0</v>
      </c>
      <c r="BY86">
        <v>0</v>
      </c>
      <c r="BZ86">
        <v>6</v>
      </c>
      <c r="CA86">
        <v>16.659918399999999</v>
      </c>
      <c r="CB86">
        <v>16.659918399999999</v>
      </c>
      <c r="CC86">
        <v>0</v>
      </c>
      <c r="CD86">
        <v>1.8312126399999999</v>
      </c>
      <c r="CE86">
        <v>1.8312126399999999</v>
      </c>
      <c r="CF86">
        <v>0</v>
      </c>
      <c r="CG86">
        <v>1.0167166400000001</v>
      </c>
      <c r="CH86">
        <v>1.0167166400000001</v>
      </c>
      <c r="CI86">
        <v>0</v>
      </c>
      <c r="CJ86">
        <v>2.7475384E-3</v>
      </c>
      <c r="CK86">
        <v>1.2200211199999999E-3</v>
      </c>
      <c r="CL86">
        <v>3.5861440000000002E-4</v>
      </c>
      <c r="CM86" s="2">
        <v>8.3238856000000002E-8</v>
      </c>
      <c r="CN86">
        <v>1.09112184</v>
      </c>
      <c r="CO86">
        <v>109.67754512926</v>
      </c>
      <c r="CP86">
        <v>3.7648218890813001</v>
      </c>
      <c r="CQ86">
        <v>3.7648218890813001</v>
      </c>
      <c r="CR86">
        <v>0</v>
      </c>
      <c r="CS86">
        <v>0.41381891946327998</v>
      </c>
      <c r="CT86">
        <v>0.41381891946327998</v>
      </c>
      <c r="CU86">
        <v>0</v>
      </c>
      <c r="CV86">
        <v>0.22975845195408001</v>
      </c>
      <c r="CW86">
        <v>0.22975845195408001</v>
      </c>
      <c r="CX86">
        <v>0</v>
      </c>
      <c r="CY86">
        <v>6.2089095883035997E-4</v>
      </c>
      <c r="CZ86">
        <v>2.7570136344230001E-4</v>
      </c>
      <c r="DA86" s="2">
        <v>8.1039973332628994E-5</v>
      </c>
      <c r="DB86" s="2">
        <v>1.8810384274805001E-8</v>
      </c>
    </row>
    <row r="87" spans="1:106" x14ac:dyDescent="0.25">
      <c r="A87">
        <v>25868</v>
      </c>
      <c r="B87" t="s">
        <v>284</v>
      </c>
      <c r="C87">
        <v>50</v>
      </c>
      <c r="D87" t="s">
        <v>261</v>
      </c>
      <c r="E87">
        <v>2</v>
      </c>
      <c r="F87" t="s">
        <v>167</v>
      </c>
      <c r="G87">
        <v>31799.16</v>
      </c>
      <c r="H87" t="s">
        <v>0</v>
      </c>
      <c r="I87">
        <v>4</v>
      </c>
      <c r="J87">
        <v>31799.16</v>
      </c>
      <c r="L87">
        <v>92117.401014000003</v>
      </c>
      <c r="O87">
        <v>796828</v>
      </c>
      <c r="P87" t="s">
        <v>55</v>
      </c>
      <c r="Q87">
        <v>114</v>
      </c>
      <c r="R87" t="s">
        <v>262</v>
      </c>
      <c r="S87" t="s">
        <v>263</v>
      </c>
      <c r="T87">
        <v>0</v>
      </c>
      <c r="W87" t="s">
        <v>47</v>
      </c>
      <c r="Y87">
        <v>3.0000000000000001E-3</v>
      </c>
      <c r="AF87" t="s">
        <v>29</v>
      </c>
      <c r="AG87" t="s">
        <v>30</v>
      </c>
      <c r="AH87" s="1">
        <v>1</v>
      </c>
      <c r="AI87">
        <v>3.0000000000000001E-3</v>
      </c>
      <c r="AJ87">
        <v>1300</v>
      </c>
      <c r="AK87">
        <v>3.9</v>
      </c>
      <c r="AM87">
        <v>3.9</v>
      </c>
      <c r="AN87">
        <v>0</v>
      </c>
      <c r="AO87">
        <v>0</v>
      </c>
      <c r="AP87" t="s">
        <v>0</v>
      </c>
      <c r="AQ87" t="s">
        <v>264</v>
      </c>
      <c r="AR87">
        <v>30358</v>
      </c>
      <c r="AS87" t="s">
        <v>265</v>
      </c>
      <c r="AT87">
        <v>1</v>
      </c>
      <c r="AU87">
        <v>1</v>
      </c>
      <c r="AV87" t="s">
        <v>266</v>
      </c>
      <c r="AW87">
        <v>1</v>
      </c>
      <c r="AX87">
        <v>25</v>
      </c>
      <c r="AY87">
        <v>25</v>
      </c>
      <c r="AZ87" t="s">
        <v>291</v>
      </c>
      <c r="BC87">
        <v>3</v>
      </c>
      <c r="BE87">
        <v>3</v>
      </c>
      <c r="BG87">
        <v>0</v>
      </c>
      <c r="BH87">
        <v>100</v>
      </c>
      <c r="BI87">
        <v>0</v>
      </c>
      <c r="BK87">
        <v>74.882283999999999</v>
      </c>
      <c r="BL87">
        <v>60.591424000000004</v>
      </c>
      <c r="BM87">
        <v>14.29086</v>
      </c>
      <c r="BN87">
        <v>3.3276493999999999</v>
      </c>
      <c r="BO87">
        <v>3.3276493999999999</v>
      </c>
      <c r="BP87">
        <v>0</v>
      </c>
      <c r="BQ87">
        <v>3.9844141999999998</v>
      </c>
      <c r="BR87">
        <v>3.9844141999999998</v>
      </c>
      <c r="BS87">
        <v>0</v>
      </c>
      <c r="BT87">
        <v>1.2954569000000001E-2</v>
      </c>
      <c r="BU87">
        <v>4.9636428999999998E-3</v>
      </c>
      <c r="BV87">
        <v>2.3394813000000001E-3</v>
      </c>
      <c r="BW87" s="2">
        <v>4.7952012999999999E-7</v>
      </c>
      <c r="BX87">
        <v>0</v>
      </c>
      <c r="BY87">
        <v>0</v>
      </c>
      <c r="BZ87">
        <v>6</v>
      </c>
      <c r="CA87">
        <v>584.08181520000005</v>
      </c>
      <c r="CB87">
        <v>472.6131072</v>
      </c>
      <c r="CC87">
        <v>111.46870800000001</v>
      </c>
      <c r="CD87">
        <v>25.955665320000001</v>
      </c>
      <c r="CE87">
        <v>25.955665320000001</v>
      </c>
      <c r="CF87">
        <v>0</v>
      </c>
      <c r="CG87">
        <v>31.07843076</v>
      </c>
      <c r="CH87">
        <v>31.07843076</v>
      </c>
      <c r="CI87">
        <v>0</v>
      </c>
      <c r="CJ87">
        <v>0.1010456382</v>
      </c>
      <c r="CK87">
        <v>3.871641462E-2</v>
      </c>
      <c r="CL87">
        <v>1.8247954140000001E-2</v>
      </c>
      <c r="CM87" s="2">
        <v>3.7402570140000001E-6</v>
      </c>
      <c r="CN87">
        <v>38.121884059999999</v>
      </c>
      <c r="CO87">
        <v>217.52953958736001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</row>
    <row r="88" spans="1:106" x14ac:dyDescent="0.25">
      <c r="A88">
        <v>25868</v>
      </c>
      <c r="B88" t="s">
        <v>284</v>
      </c>
      <c r="C88">
        <v>50</v>
      </c>
      <c r="D88" t="s">
        <v>261</v>
      </c>
      <c r="E88">
        <v>2</v>
      </c>
      <c r="F88" t="s">
        <v>167</v>
      </c>
      <c r="G88">
        <v>31799.16</v>
      </c>
      <c r="H88" t="s">
        <v>0</v>
      </c>
      <c r="I88">
        <v>4</v>
      </c>
      <c r="J88">
        <v>31799.16</v>
      </c>
      <c r="L88">
        <v>92117.401014000003</v>
      </c>
      <c r="O88">
        <v>796828</v>
      </c>
      <c r="P88" t="s">
        <v>55</v>
      </c>
      <c r="Q88">
        <v>114</v>
      </c>
      <c r="R88" t="s">
        <v>262</v>
      </c>
      <c r="S88" t="s">
        <v>263</v>
      </c>
      <c r="T88">
        <v>0</v>
      </c>
      <c r="V88">
        <v>2142717191</v>
      </c>
      <c r="W88" t="s">
        <v>56</v>
      </c>
      <c r="Y88">
        <v>1E-4</v>
      </c>
      <c r="AF88" t="s">
        <v>29</v>
      </c>
      <c r="AG88" t="s">
        <v>30</v>
      </c>
      <c r="AH88" s="1">
        <v>1</v>
      </c>
      <c r="AI88">
        <v>1E-4</v>
      </c>
      <c r="AJ88">
        <v>650</v>
      </c>
      <c r="AK88">
        <v>6.5000000000000002E-2</v>
      </c>
      <c r="AM88">
        <v>6.5000000000000002E-2</v>
      </c>
      <c r="AN88">
        <v>0</v>
      </c>
      <c r="AO88">
        <v>0</v>
      </c>
      <c r="AP88" t="s">
        <v>0</v>
      </c>
      <c r="AQ88" t="s">
        <v>264</v>
      </c>
      <c r="AR88">
        <v>30358</v>
      </c>
      <c r="AS88" t="s">
        <v>265</v>
      </c>
      <c r="AT88">
        <v>2</v>
      </c>
      <c r="AU88">
        <v>1</v>
      </c>
      <c r="AV88" t="s">
        <v>266</v>
      </c>
      <c r="AW88">
        <v>1</v>
      </c>
      <c r="AX88">
        <v>35</v>
      </c>
      <c r="AY88">
        <v>35</v>
      </c>
      <c r="AZ88" t="s">
        <v>289</v>
      </c>
      <c r="BC88">
        <v>3</v>
      </c>
      <c r="BE88">
        <v>3</v>
      </c>
      <c r="BG88">
        <v>0</v>
      </c>
      <c r="BH88">
        <v>100</v>
      </c>
      <c r="BI88">
        <v>0</v>
      </c>
      <c r="BK88">
        <v>84.444359000000006</v>
      </c>
      <c r="BL88">
        <v>41.974359</v>
      </c>
      <c r="BM88">
        <v>42.47</v>
      </c>
      <c r="BN88">
        <v>3.1728236000000001</v>
      </c>
      <c r="BO88">
        <v>3.1728236000000001</v>
      </c>
      <c r="BP88">
        <v>0</v>
      </c>
      <c r="BQ88">
        <v>2.6102582000000001</v>
      </c>
      <c r="BR88">
        <v>2.6102582000000001</v>
      </c>
      <c r="BS88">
        <v>0</v>
      </c>
      <c r="BT88">
        <v>1.0141371E-2</v>
      </c>
      <c r="BU88">
        <v>2.4516007000000002E-3</v>
      </c>
      <c r="BV88">
        <v>2.7319207999999999E-3</v>
      </c>
      <c r="BW88" s="2">
        <v>4.4255016E-8</v>
      </c>
      <c r="BX88">
        <v>0</v>
      </c>
      <c r="BY88">
        <v>0</v>
      </c>
      <c r="BZ88">
        <v>6</v>
      </c>
      <c r="CA88">
        <v>10.977766669999999</v>
      </c>
      <c r="CB88">
        <v>5.4566666699999997</v>
      </c>
      <c r="CC88">
        <v>5.5210999999999997</v>
      </c>
      <c r="CD88">
        <v>0.41246706799999999</v>
      </c>
      <c r="CE88">
        <v>0.41246706799999999</v>
      </c>
      <c r="CF88">
        <v>0</v>
      </c>
      <c r="CG88">
        <v>0.33933356599999998</v>
      </c>
      <c r="CH88">
        <v>0.33933356599999998</v>
      </c>
      <c r="CI88">
        <v>0</v>
      </c>
      <c r="CJ88">
        <v>1.31837823E-3</v>
      </c>
      <c r="CK88">
        <v>3.1870809099999997E-4</v>
      </c>
      <c r="CL88">
        <v>3.5514970399999998E-4</v>
      </c>
      <c r="CM88" s="2">
        <v>5.7531520800000003E-9</v>
      </c>
      <c r="CN88">
        <v>0.59826491400000004</v>
      </c>
      <c r="CO88">
        <v>217.52953958736001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</row>
    <row r="89" spans="1:106" x14ac:dyDescent="0.25">
      <c r="A89">
        <v>25868</v>
      </c>
      <c r="B89" t="s">
        <v>284</v>
      </c>
      <c r="C89">
        <v>50</v>
      </c>
      <c r="D89" t="s">
        <v>261</v>
      </c>
      <c r="E89">
        <v>2</v>
      </c>
      <c r="F89" t="s">
        <v>167</v>
      </c>
      <c r="G89">
        <v>31799.16</v>
      </c>
      <c r="H89" t="s">
        <v>0</v>
      </c>
      <c r="I89">
        <v>4</v>
      </c>
      <c r="J89">
        <v>31799.16</v>
      </c>
      <c r="L89">
        <v>92117.401014000003</v>
      </c>
      <c r="O89">
        <v>796828</v>
      </c>
      <c r="P89" t="s">
        <v>55</v>
      </c>
      <c r="Q89">
        <v>114</v>
      </c>
      <c r="R89" t="s">
        <v>262</v>
      </c>
      <c r="S89" t="s">
        <v>263</v>
      </c>
      <c r="T89">
        <v>0</v>
      </c>
      <c r="V89">
        <v>2142707274</v>
      </c>
      <c r="W89" t="s">
        <v>48</v>
      </c>
      <c r="Y89">
        <v>7.0000000000000007E-2</v>
      </c>
      <c r="AF89" t="s">
        <v>29</v>
      </c>
      <c r="AG89" t="s">
        <v>30</v>
      </c>
      <c r="AH89" s="1">
        <v>1</v>
      </c>
      <c r="AI89">
        <v>7.0000000000000007E-2</v>
      </c>
      <c r="AJ89">
        <v>2000</v>
      </c>
      <c r="AK89">
        <v>140</v>
      </c>
      <c r="AM89">
        <v>140</v>
      </c>
      <c r="AN89">
        <v>0</v>
      </c>
      <c r="AO89">
        <v>0</v>
      </c>
      <c r="AP89" t="s">
        <v>0</v>
      </c>
      <c r="AQ89" t="s">
        <v>264</v>
      </c>
      <c r="AR89">
        <v>30358</v>
      </c>
      <c r="AS89" t="s">
        <v>265</v>
      </c>
      <c r="AT89">
        <v>3</v>
      </c>
      <c r="AU89">
        <v>1</v>
      </c>
      <c r="AV89" t="s">
        <v>266</v>
      </c>
      <c r="AW89">
        <v>0</v>
      </c>
      <c r="AX89">
        <v>50</v>
      </c>
      <c r="AY89">
        <v>50</v>
      </c>
      <c r="AZ89" t="s">
        <v>285</v>
      </c>
      <c r="BC89">
        <v>3</v>
      </c>
      <c r="BE89">
        <v>4</v>
      </c>
      <c r="BG89">
        <v>100</v>
      </c>
      <c r="BH89">
        <v>0</v>
      </c>
      <c r="BI89">
        <v>0</v>
      </c>
      <c r="BK89">
        <v>1.3382216</v>
      </c>
      <c r="BL89">
        <v>1.3382216</v>
      </c>
      <c r="BM89">
        <v>0</v>
      </c>
      <c r="BN89">
        <v>0.12393289</v>
      </c>
      <c r="BO89">
        <v>0.12393289</v>
      </c>
      <c r="BP89">
        <v>0</v>
      </c>
      <c r="BQ89">
        <v>0.15118186</v>
      </c>
      <c r="BR89">
        <v>0.15118186</v>
      </c>
      <c r="BS89">
        <v>0</v>
      </c>
      <c r="BT89">
        <v>3.1549675E-4</v>
      </c>
      <c r="BU89">
        <v>2.0401282E-4</v>
      </c>
      <c r="BV89" s="2">
        <v>4.8205521000000002E-5</v>
      </c>
      <c r="BW89" s="2">
        <v>4.8452447E-9</v>
      </c>
      <c r="BX89">
        <v>0</v>
      </c>
      <c r="BY89">
        <v>0</v>
      </c>
      <c r="BZ89">
        <v>6</v>
      </c>
      <c r="CA89">
        <v>187.351024</v>
      </c>
      <c r="CB89">
        <v>187.351024</v>
      </c>
      <c r="CC89">
        <v>0</v>
      </c>
      <c r="CD89">
        <v>17.3506046</v>
      </c>
      <c r="CE89">
        <v>17.3506046</v>
      </c>
      <c r="CF89">
        <v>0</v>
      </c>
      <c r="CG89">
        <v>21.165460400000001</v>
      </c>
      <c r="CH89">
        <v>21.165460400000001</v>
      </c>
      <c r="CI89">
        <v>0</v>
      </c>
      <c r="CJ89">
        <v>4.4169544999999998E-2</v>
      </c>
      <c r="CK89">
        <v>2.8561794800000002E-2</v>
      </c>
      <c r="CL89">
        <v>6.7487729399999998E-3</v>
      </c>
      <c r="CM89" s="2">
        <v>6.78334258E-7</v>
      </c>
      <c r="CN89">
        <v>15.661883533333</v>
      </c>
      <c r="CO89">
        <v>217.52953958736001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</row>
    <row r="90" spans="1:106" x14ac:dyDescent="0.25">
      <c r="A90">
        <v>25868</v>
      </c>
      <c r="B90" t="s">
        <v>284</v>
      </c>
      <c r="C90">
        <v>50</v>
      </c>
      <c r="D90" t="s">
        <v>261</v>
      </c>
      <c r="E90">
        <v>2</v>
      </c>
      <c r="F90" t="s">
        <v>167</v>
      </c>
      <c r="G90">
        <v>31799.16</v>
      </c>
      <c r="H90" t="s">
        <v>0</v>
      </c>
      <c r="I90">
        <v>4</v>
      </c>
      <c r="J90">
        <v>31799.16</v>
      </c>
      <c r="L90">
        <v>92117.401014000003</v>
      </c>
      <c r="O90">
        <v>796828</v>
      </c>
      <c r="P90" t="s">
        <v>55</v>
      </c>
      <c r="Q90">
        <v>114</v>
      </c>
      <c r="R90" t="s">
        <v>262</v>
      </c>
      <c r="S90" t="s">
        <v>263</v>
      </c>
      <c r="T90">
        <v>0</v>
      </c>
      <c r="V90">
        <v>2142718134</v>
      </c>
      <c r="W90" t="s">
        <v>50</v>
      </c>
      <c r="Y90">
        <v>0.03</v>
      </c>
      <c r="AF90" t="s">
        <v>29</v>
      </c>
      <c r="AG90" t="s">
        <v>30</v>
      </c>
      <c r="AH90" s="1">
        <v>1</v>
      </c>
      <c r="AI90">
        <v>0.03</v>
      </c>
      <c r="AJ90">
        <v>11</v>
      </c>
      <c r="AK90">
        <v>0.33</v>
      </c>
      <c r="AM90">
        <v>0.33</v>
      </c>
      <c r="AN90">
        <v>0</v>
      </c>
      <c r="AO90">
        <v>0</v>
      </c>
      <c r="AP90" t="s">
        <v>0</v>
      </c>
      <c r="AQ90" t="s">
        <v>264</v>
      </c>
      <c r="AR90">
        <v>30358</v>
      </c>
      <c r="AS90" t="s">
        <v>265</v>
      </c>
      <c r="AT90">
        <v>4</v>
      </c>
      <c r="AU90">
        <v>1</v>
      </c>
      <c r="AV90" t="s">
        <v>266</v>
      </c>
      <c r="AW90">
        <v>0</v>
      </c>
      <c r="AX90">
        <v>50</v>
      </c>
      <c r="AY90">
        <v>50</v>
      </c>
      <c r="AZ90" t="s">
        <v>285</v>
      </c>
      <c r="BC90">
        <v>4</v>
      </c>
      <c r="BE90">
        <v>3</v>
      </c>
      <c r="BG90">
        <v>0</v>
      </c>
      <c r="BH90">
        <v>100</v>
      </c>
      <c r="BI90">
        <v>0</v>
      </c>
      <c r="BK90">
        <v>98.895520000000005</v>
      </c>
      <c r="BL90">
        <v>58.895519999999998</v>
      </c>
      <c r="BM90">
        <v>40</v>
      </c>
      <c r="BN90">
        <v>0.95935762000000002</v>
      </c>
      <c r="BO90">
        <v>0.95935762000000002</v>
      </c>
      <c r="BP90">
        <v>0</v>
      </c>
      <c r="BQ90">
        <v>4.2053807000000001</v>
      </c>
      <c r="BR90">
        <v>4.2053807000000001</v>
      </c>
      <c r="BS90">
        <v>0</v>
      </c>
      <c r="BT90">
        <v>1.4900439E-2</v>
      </c>
      <c r="BU90">
        <v>2.6115595E-3</v>
      </c>
      <c r="BV90">
        <v>9.1377113000000003E-3</v>
      </c>
      <c r="BW90" s="2">
        <v>1.3195599999999999E-7</v>
      </c>
      <c r="BX90">
        <v>0</v>
      </c>
      <c r="BY90">
        <v>0</v>
      </c>
      <c r="BZ90">
        <v>6</v>
      </c>
      <c r="CA90">
        <v>32.635521599999997</v>
      </c>
      <c r="CB90">
        <v>19.435521600000001</v>
      </c>
      <c r="CC90">
        <v>13.2</v>
      </c>
      <c r="CD90">
        <v>0.31658801460000002</v>
      </c>
      <c r="CE90">
        <v>0.31658801460000002</v>
      </c>
      <c r="CF90">
        <v>0</v>
      </c>
      <c r="CG90">
        <v>1.387775631</v>
      </c>
      <c r="CH90">
        <v>1.387775631</v>
      </c>
      <c r="CI90">
        <v>0</v>
      </c>
      <c r="CJ90">
        <v>4.91714487E-3</v>
      </c>
      <c r="CK90">
        <v>8.6181463499999998E-4</v>
      </c>
      <c r="CL90">
        <v>3.0154447290000001E-3</v>
      </c>
      <c r="CM90" s="2">
        <v>4.3545479999999998E-8</v>
      </c>
      <c r="CN90">
        <v>1.9747659744999999</v>
      </c>
      <c r="CO90">
        <v>217.52953958736001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</row>
    <row r="91" spans="1:106" x14ac:dyDescent="0.25">
      <c r="A91">
        <v>25868</v>
      </c>
      <c r="B91" t="s">
        <v>284</v>
      </c>
      <c r="C91">
        <v>50</v>
      </c>
      <c r="D91" t="s">
        <v>261</v>
      </c>
      <c r="E91">
        <v>2</v>
      </c>
      <c r="F91" t="s">
        <v>167</v>
      </c>
      <c r="G91">
        <v>31799.16</v>
      </c>
      <c r="H91" t="s">
        <v>0</v>
      </c>
      <c r="I91">
        <v>4</v>
      </c>
      <c r="J91">
        <v>31799.16</v>
      </c>
      <c r="L91">
        <v>92117.401014000003</v>
      </c>
      <c r="O91">
        <v>796828</v>
      </c>
      <c r="P91" t="s">
        <v>55</v>
      </c>
      <c r="Q91">
        <v>114</v>
      </c>
      <c r="R91" t="s">
        <v>262</v>
      </c>
      <c r="S91" t="s">
        <v>263</v>
      </c>
      <c r="T91">
        <v>0</v>
      </c>
      <c r="V91">
        <v>2142732302</v>
      </c>
      <c r="W91" t="s">
        <v>51</v>
      </c>
      <c r="Y91">
        <v>1E-3</v>
      </c>
      <c r="AF91" t="s">
        <v>29</v>
      </c>
      <c r="AG91" t="s">
        <v>30</v>
      </c>
      <c r="AH91" s="1">
        <v>1</v>
      </c>
      <c r="AI91">
        <v>1E-3</v>
      </c>
      <c r="AJ91">
        <v>300</v>
      </c>
      <c r="AK91">
        <v>0.3</v>
      </c>
      <c r="AM91">
        <v>0.3</v>
      </c>
      <c r="AN91">
        <v>0</v>
      </c>
      <c r="AO91">
        <v>0</v>
      </c>
      <c r="AP91" t="s">
        <v>0</v>
      </c>
      <c r="AQ91" t="s">
        <v>264</v>
      </c>
      <c r="AR91">
        <v>30358</v>
      </c>
      <c r="AS91" t="s">
        <v>265</v>
      </c>
      <c r="AT91">
        <v>5</v>
      </c>
      <c r="AU91">
        <v>1</v>
      </c>
      <c r="AV91" t="s">
        <v>266</v>
      </c>
      <c r="AW91">
        <v>1</v>
      </c>
      <c r="AX91">
        <v>25</v>
      </c>
      <c r="AY91">
        <v>25</v>
      </c>
      <c r="AZ91" t="s">
        <v>286</v>
      </c>
      <c r="BC91">
        <v>3</v>
      </c>
      <c r="BE91">
        <v>3</v>
      </c>
      <c r="BG91">
        <v>0</v>
      </c>
      <c r="BH91">
        <v>100</v>
      </c>
      <c r="BI91">
        <v>0</v>
      </c>
      <c r="BK91">
        <v>85.988403000000005</v>
      </c>
      <c r="BL91">
        <v>43.518402999999999</v>
      </c>
      <c r="BM91">
        <v>42.47</v>
      </c>
      <c r="BN91">
        <v>1.3022769000000001</v>
      </c>
      <c r="BO91">
        <v>1.3022769000000001</v>
      </c>
      <c r="BP91">
        <v>0</v>
      </c>
      <c r="BQ91">
        <v>2.8430924000000002</v>
      </c>
      <c r="BR91">
        <v>2.8640924000000001</v>
      </c>
      <c r="BS91">
        <v>-2.1000000000000001E-2</v>
      </c>
      <c r="BT91">
        <v>8.3217996000000006E-3</v>
      </c>
      <c r="BU91">
        <v>1.6064606999999999E-3</v>
      </c>
      <c r="BV91">
        <v>2.4785428000000001E-3</v>
      </c>
      <c r="BW91" s="2">
        <v>3.9116873999999998E-8</v>
      </c>
      <c r="BX91">
        <v>1</v>
      </c>
      <c r="BY91">
        <v>0</v>
      </c>
      <c r="BZ91">
        <v>6</v>
      </c>
      <c r="CA91">
        <v>51.593041800000002</v>
      </c>
      <c r="CB91">
        <v>26.111041799999999</v>
      </c>
      <c r="CC91">
        <v>25.481999999999999</v>
      </c>
      <c r="CD91">
        <v>0.78136614000000004</v>
      </c>
      <c r="CE91">
        <v>0.78136614000000004</v>
      </c>
      <c r="CF91">
        <v>0</v>
      </c>
      <c r="CG91">
        <v>1.7121554400000001</v>
      </c>
      <c r="CH91">
        <v>1.7184554400000001</v>
      </c>
      <c r="CI91">
        <v>-6.3E-3</v>
      </c>
      <c r="CJ91">
        <v>4.9930797599999997E-3</v>
      </c>
      <c r="CK91">
        <v>9.6387641999999996E-4</v>
      </c>
      <c r="CL91">
        <v>1.4871256800000001E-3</v>
      </c>
      <c r="CM91" s="2">
        <v>2.3470124400000001E-8</v>
      </c>
      <c r="CN91">
        <v>2.670871268</v>
      </c>
      <c r="CO91">
        <v>217.52953958736001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</row>
    <row r="92" spans="1:106" x14ac:dyDescent="0.25">
      <c r="A92">
        <v>25868</v>
      </c>
      <c r="B92" t="s">
        <v>284</v>
      </c>
      <c r="C92">
        <v>50</v>
      </c>
      <c r="D92" t="s">
        <v>261</v>
      </c>
      <c r="E92">
        <v>2</v>
      </c>
      <c r="F92" t="s">
        <v>167</v>
      </c>
      <c r="G92">
        <v>31799.16</v>
      </c>
      <c r="H92" t="s">
        <v>0</v>
      </c>
      <c r="I92">
        <v>4</v>
      </c>
      <c r="J92">
        <v>31799.16</v>
      </c>
      <c r="L92">
        <v>92117.401014000003</v>
      </c>
      <c r="O92">
        <v>796828</v>
      </c>
      <c r="P92" t="s">
        <v>55</v>
      </c>
      <c r="Q92">
        <v>114</v>
      </c>
      <c r="R92" t="s">
        <v>262</v>
      </c>
      <c r="S92" t="s">
        <v>263</v>
      </c>
      <c r="T92">
        <v>0</v>
      </c>
      <c r="W92" t="s">
        <v>52</v>
      </c>
      <c r="X92" t="s">
        <v>292</v>
      </c>
      <c r="Y92">
        <v>7.6999999999999999E-2</v>
      </c>
      <c r="AF92" t="s">
        <v>29</v>
      </c>
      <c r="AG92" t="s">
        <v>30</v>
      </c>
      <c r="AH92" s="1">
        <v>1</v>
      </c>
      <c r="AI92">
        <v>7.6999999999999999E-2</v>
      </c>
      <c r="AJ92">
        <v>1800</v>
      </c>
      <c r="AK92">
        <v>138.6</v>
      </c>
      <c r="AM92">
        <v>138.6</v>
      </c>
      <c r="AN92">
        <v>0</v>
      </c>
      <c r="AO92">
        <v>0</v>
      </c>
      <c r="AP92" t="s">
        <v>0</v>
      </c>
      <c r="AQ92" t="s">
        <v>264</v>
      </c>
      <c r="AR92">
        <v>30358</v>
      </c>
      <c r="AS92" t="s">
        <v>265</v>
      </c>
      <c r="AT92">
        <v>6</v>
      </c>
      <c r="AU92">
        <v>1</v>
      </c>
      <c r="AV92" t="s">
        <v>266</v>
      </c>
      <c r="AW92">
        <v>0</v>
      </c>
      <c r="AX92">
        <v>50</v>
      </c>
      <c r="AY92">
        <v>50</v>
      </c>
      <c r="AZ92" t="s">
        <v>285</v>
      </c>
      <c r="BC92">
        <v>2</v>
      </c>
      <c r="BE92">
        <v>3</v>
      </c>
      <c r="BG92">
        <v>100</v>
      </c>
      <c r="BH92">
        <v>0</v>
      </c>
      <c r="BI92">
        <v>0</v>
      </c>
      <c r="BK92">
        <v>0.19234907000000001</v>
      </c>
      <c r="BL92">
        <v>0.19234907000000001</v>
      </c>
      <c r="BM92">
        <v>0</v>
      </c>
      <c r="BN92">
        <v>5.6653924999999997E-3</v>
      </c>
      <c r="BO92">
        <v>5.6653924999999997E-3</v>
      </c>
      <c r="BP92">
        <v>0</v>
      </c>
      <c r="BQ92">
        <v>2.0272476000000001E-2</v>
      </c>
      <c r="BR92">
        <v>2.0272476000000001E-2</v>
      </c>
      <c r="BS92">
        <v>0</v>
      </c>
      <c r="BT92" s="2">
        <v>6.7317381999999998E-5</v>
      </c>
      <c r="BU92" s="2">
        <v>2.8679226999999999E-5</v>
      </c>
      <c r="BV92" s="2">
        <v>8.6913223999999992E-6</v>
      </c>
      <c r="BW92" s="2">
        <v>9.4606329999999995E-10</v>
      </c>
      <c r="BX92">
        <v>0</v>
      </c>
      <c r="BY92">
        <v>0</v>
      </c>
      <c r="BZ92">
        <v>6</v>
      </c>
      <c r="CA92">
        <v>26.659581102000001</v>
      </c>
      <c r="CB92">
        <v>26.659581102000001</v>
      </c>
      <c r="CC92">
        <v>0</v>
      </c>
      <c r="CD92">
        <v>0.78522340049999995</v>
      </c>
      <c r="CE92">
        <v>0.78522340049999995</v>
      </c>
      <c r="CF92">
        <v>0</v>
      </c>
      <c r="CG92">
        <v>2.8097651736000002</v>
      </c>
      <c r="CH92">
        <v>2.8097651736000002</v>
      </c>
      <c r="CI92">
        <v>0</v>
      </c>
      <c r="CJ92">
        <v>9.3301891452000005E-3</v>
      </c>
      <c r="CK92">
        <v>3.9749408622000004E-3</v>
      </c>
      <c r="CL92">
        <v>1.20461728464E-3</v>
      </c>
      <c r="CM92" s="2">
        <v>1.3112437338E-7</v>
      </c>
      <c r="CN92">
        <v>2.6009721183600001</v>
      </c>
      <c r="CO92">
        <v>217.52953958736001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</row>
    <row r="93" spans="1:106" x14ac:dyDescent="0.25">
      <c r="A93">
        <v>25868</v>
      </c>
      <c r="B93" t="s">
        <v>284</v>
      </c>
      <c r="C93">
        <v>50</v>
      </c>
      <c r="D93" t="s">
        <v>261</v>
      </c>
      <c r="E93">
        <v>2</v>
      </c>
      <c r="F93" t="s">
        <v>167</v>
      </c>
      <c r="G93">
        <v>31799.16</v>
      </c>
      <c r="H93" t="s">
        <v>0</v>
      </c>
      <c r="I93">
        <v>4</v>
      </c>
      <c r="J93">
        <v>31799.16</v>
      </c>
      <c r="L93">
        <v>92117.401014000003</v>
      </c>
      <c r="O93">
        <v>796828</v>
      </c>
      <c r="P93" t="s">
        <v>55</v>
      </c>
      <c r="Q93">
        <v>114</v>
      </c>
      <c r="R93" t="s">
        <v>262</v>
      </c>
      <c r="S93" t="s">
        <v>263</v>
      </c>
      <c r="T93">
        <v>0</v>
      </c>
      <c r="W93" t="s">
        <v>16</v>
      </c>
      <c r="Y93">
        <v>0.35</v>
      </c>
      <c r="AF93" t="s">
        <v>29</v>
      </c>
      <c r="AG93" t="s">
        <v>30</v>
      </c>
      <c r="AH93" s="1">
        <v>1</v>
      </c>
      <c r="AI93">
        <v>0.35</v>
      </c>
      <c r="AJ93">
        <v>2325</v>
      </c>
      <c r="AK93">
        <v>813.75</v>
      </c>
      <c r="AM93">
        <v>813.75</v>
      </c>
      <c r="AN93">
        <v>0</v>
      </c>
      <c r="AO93">
        <v>0</v>
      </c>
      <c r="AP93" t="s">
        <v>0</v>
      </c>
      <c r="AQ93" t="s">
        <v>264</v>
      </c>
      <c r="AR93">
        <v>30358</v>
      </c>
      <c r="AS93" t="s">
        <v>265</v>
      </c>
      <c r="AT93">
        <v>7</v>
      </c>
      <c r="AU93">
        <v>1</v>
      </c>
      <c r="AV93" t="s">
        <v>266</v>
      </c>
      <c r="AW93">
        <v>0</v>
      </c>
      <c r="AX93">
        <v>100</v>
      </c>
      <c r="AY93">
        <v>100</v>
      </c>
      <c r="AZ93" t="s">
        <v>267</v>
      </c>
      <c r="BK93">
        <v>1.5660049</v>
      </c>
      <c r="BL93">
        <v>1.5660049</v>
      </c>
      <c r="BM93">
        <v>0</v>
      </c>
      <c r="BN93">
        <v>4.7475960999999997E-2</v>
      </c>
      <c r="BO93">
        <v>4.7475960999999997E-2</v>
      </c>
      <c r="BP93">
        <v>0</v>
      </c>
      <c r="BQ93">
        <v>0.15291231999999999</v>
      </c>
      <c r="BR93">
        <v>0.15291231999999999</v>
      </c>
      <c r="BS93">
        <v>0</v>
      </c>
      <c r="BT93">
        <v>3.9132148000000001E-4</v>
      </c>
      <c r="BU93">
        <v>2.4656103E-4</v>
      </c>
      <c r="BV93" s="2">
        <v>7.7190705E-5</v>
      </c>
      <c r="BW93" s="2">
        <v>4.5130751999999996E-9</v>
      </c>
      <c r="BX93">
        <v>1</v>
      </c>
      <c r="BY93">
        <v>0</v>
      </c>
      <c r="BZ93">
        <v>6</v>
      </c>
      <c r="CA93">
        <v>1274.3364873749999</v>
      </c>
      <c r="CB93">
        <v>1274.3364873749999</v>
      </c>
      <c r="CC93">
        <v>0</v>
      </c>
      <c r="CD93">
        <v>38.633563263749998</v>
      </c>
      <c r="CE93">
        <v>38.633563263749998</v>
      </c>
      <c r="CF93">
        <v>0</v>
      </c>
      <c r="CG93">
        <v>124.43240040000001</v>
      </c>
      <c r="CH93">
        <v>124.43240040000001</v>
      </c>
      <c r="CI93">
        <v>0</v>
      </c>
      <c r="CJ93">
        <v>0.31843785434999999</v>
      </c>
      <c r="CK93">
        <v>0.20063903816250001</v>
      </c>
      <c r="CL93">
        <v>6.2813936193750003E-2</v>
      </c>
      <c r="CM93" s="2">
        <v>3.672514944E-6</v>
      </c>
      <c r="CN93">
        <v>105.6749968925</v>
      </c>
      <c r="CO93">
        <v>217.52953958736001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</row>
    <row r="94" spans="1:106" x14ac:dyDescent="0.25">
      <c r="A94">
        <v>25868</v>
      </c>
      <c r="B94" t="s">
        <v>284</v>
      </c>
      <c r="C94">
        <v>50</v>
      </c>
      <c r="D94" t="s">
        <v>261</v>
      </c>
      <c r="E94">
        <v>2</v>
      </c>
      <c r="F94" t="s">
        <v>167</v>
      </c>
      <c r="G94">
        <v>31799.16</v>
      </c>
      <c r="H94" t="s">
        <v>0</v>
      </c>
      <c r="I94">
        <v>4</v>
      </c>
      <c r="J94">
        <v>31799.16</v>
      </c>
      <c r="L94">
        <v>92117.401014000003</v>
      </c>
      <c r="O94">
        <v>796828</v>
      </c>
      <c r="P94" t="s">
        <v>55</v>
      </c>
      <c r="Q94">
        <v>114</v>
      </c>
      <c r="R94" t="s">
        <v>262</v>
      </c>
      <c r="S94" t="s">
        <v>263</v>
      </c>
      <c r="T94">
        <v>0</v>
      </c>
      <c r="V94">
        <v>2142710056</v>
      </c>
      <c r="W94" t="s">
        <v>57</v>
      </c>
      <c r="Y94">
        <v>0.16</v>
      </c>
      <c r="AF94" t="s">
        <v>29</v>
      </c>
      <c r="AG94" t="s">
        <v>30</v>
      </c>
      <c r="AH94" s="1">
        <v>1</v>
      </c>
      <c r="AI94">
        <v>0.16</v>
      </c>
      <c r="AJ94">
        <v>105</v>
      </c>
      <c r="AK94">
        <v>16.8</v>
      </c>
      <c r="AM94">
        <v>16.8</v>
      </c>
      <c r="AN94">
        <v>0</v>
      </c>
      <c r="AO94">
        <v>0</v>
      </c>
      <c r="AP94" t="s">
        <v>0</v>
      </c>
      <c r="AQ94" t="s">
        <v>264</v>
      </c>
      <c r="AR94">
        <v>30358</v>
      </c>
      <c r="AS94" t="s">
        <v>265</v>
      </c>
      <c r="AT94">
        <v>8</v>
      </c>
      <c r="AU94">
        <v>1</v>
      </c>
      <c r="AV94" t="s">
        <v>266</v>
      </c>
      <c r="AW94">
        <v>1</v>
      </c>
      <c r="AX94">
        <v>35</v>
      </c>
      <c r="AY94">
        <v>35</v>
      </c>
      <c r="AZ94" t="s">
        <v>293</v>
      </c>
      <c r="BC94">
        <v>4</v>
      </c>
      <c r="BE94">
        <v>3</v>
      </c>
      <c r="BG94">
        <v>100</v>
      </c>
      <c r="BH94">
        <v>0</v>
      </c>
      <c r="BI94">
        <v>0</v>
      </c>
      <c r="BK94">
        <v>21.343074999999999</v>
      </c>
      <c r="BL94">
        <v>21.343074999999999</v>
      </c>
      <c r="BM94">
        <v>0</v>
      </c>
      <c r="BN94">
        <v>0.78469758000000001</v>
      </c>
      <c r="BO94">
        <v>0.78469758000000001</v>
      </c>
      <c r="BP94">
        <v>0</v>
      </c>
      <c r="BQ94">
        <v>1.7409311000000001</v>
      </c>
      <c r="BR94">
        <v>1.7409311000000001</v>
      </c>
      <c r="BS94">
        <v>0</v>
      </c>
      <c r="BT94">
        <v>1.1809325000000001E-2</v>
      </c>
      <c r="BU94">
        <v>3.1100953999999999E-3</v>
      </c>
      <c r="BV94">
        <v>5.0632319000000004E-3</v>
      </c>
      <c r="BW94" s="2">
        <v>7.0109999999999997E-8</v>
      </c>
      <c r="BX94">
        <v>1</v>
      </c>
      <c r="BY94">
        <v>0</v>
      </c>
      <c r="BZ94">
        <v>6</v>
      </c>
      <c r="CA94">
        <v>717.12732000000005</v>
      </c>
      <c r="CB94">
        <v>717.12732000000005</v>
      </c>
      <c r="CC94">
        <v>0</v>
      </c>
      <c r="CD94">
        <v>26.365838688</v>
      </c>
      <c r="CE94">
        <v>26.365838688</v>
      </c>
      <c r="CF94">
        <v>0</v>
      </c>
      <c r="CG94">
        <v>58.495284959999999</v>
      </c>
      <c r="CH94">
        <v>58.495284959999999</v>
      </c>
      <c r="CI94">
        <v>0</v>
      </c>
      <c r="CJ94">
        <v>0.39679332</v>
      </c>
      <c r="CK94">
        <v>0.10449920544000001</v>
      </c>
      <c r="CL94">
        <v>0.17012459184000001</v>
      </c>
      <c r="CM94" s="2">
        <v>2.3556960000000001E-6</v>
      </c>
      <c r="CN94">
        <v>86.559234160000003</v>
      </c>
      <c r="CO94">
        <v>217.52953958736001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</row>
    <row r="95" spans="1:106" x14ac:dyDescent="0.25">
      <c r="A95">
        <v>25868</v>
      </c>
      <c r="B95" t="s">
        <v>284</v>
      </c>
      <c r="C95">
        <v>50</v>
      </c>
      <c r="D95" t="s">
        <v>261</v>
      </c>
      <c r="E95">
        <v>2</v>
      </c>
      <c r="F95" t="s">
        <v>167</v>
      </c>
      <c r="G95">
        <v>31799.16</v>
      </c>
      <c r="H95" t="s">
        <v>0</v>
      </c>
      <c r="I95">
        <v>4</v>
      </c>
      <c r="J95">
        <v>31799.16</v>
      </c>
      <c r="L95">
        <v>92117.401014000003</v>
      </c>
      <c r="O95">
        <v>796829</v>
      </c>
      <c r="P95" t="s">
        <v>58</v>
      </c>
      <c r="Q95">
        <v>114</v>
      </c>
      <c r="R95" t="s">
        <v>262</v>
      </c>
      <c r="S95" t="s">
        <v>263</v>
      </c>
      <c r="T95">
        <v>0</v>
      </c>
      <c r="W95" t="s">
        <v>47</v>
      </c>
      <c r="Y95">
        <v>3.0000000000000001E-3</v>
      </c>
      <c r="AF95" t="s">
        <v>29</v>
      </c>
      <c r="AG95" t="s">
        <v>30</v>
      </c>
      <c r="AH95" s="1">
        <v>1</v>
      </c>
      <c r="AI95">
        <v>3.0000000000000001E-3</v>
      </c>
      <c r="AJ95">
        <v>1300</v>
      </c>
      <c r="AK95">
        <v>3.9</v>
      </c>
      <c r="AM95">
        <v>3.9</v>
      </c>
      <c r="AN95">
        <v>0</v>
      </c>
      <c r="AO95">
        <v>0</v>
      </c>
      <c r="AP95" t="s">
        <v>0</v>
      </c>
      <c r="AQ95" t="s">
        <v>264</v>
      </c>
      <c r="AR95">
        <v>30358</v>
      </c>
      <c r="AS95" t="s">
        <v>265</v>
      </c>
      <c r="AT95">
        <v>1</v>
      </c>
      <c r="AU95">
        <v>1</v>
      </c>
      <c r="AV95" t="s">
        <v>266</v>
      </c>
      <c r="AW95">
        <v>1</v>
      </c>
      <c r="AX95">
        <v>25</v>
      </c>
      <c r="AY95">
        <v>25</v>
      </c>
      <c r="AZ95" t="s">
        <v>291</v>
      </c>
      <c r="BC95">
        <v>3</v>
      </c>
      <c r="BE95">
        <v>3</v>
      </c>
      <c r="BG95">
        <v>0</v>
      </c>
      <c r="BH95">
        <v>100</v>
      </c>
      <c r="BI95">
        <v>0</v>
      </c>
      <c r="BK95">
        <v>74.882283999999999</v>
      </c>
      <c r="BL95">
        <v>60.591424000000004</v>
      </c>
      <c r="BM95">
        <v>14.29086</v>
      </c>
      <c r="BN95">
        <v>3.3276493999999999</v>
      </c>
      <c r="BO95">
        <v>3.3276493999999999</v>
      </c>
      <c r="BP95">
        <v>0</v>
      </c>
      <c r="BQ95">
        <v>3.9844141999999998</v>
      </c>
      <c r="BR95">
        <v>3.9844141999999998</v>
      </c>
      <c r="BS95">
        <v>0</v>
      </c>
      <c r="BT95">
        <v>1.2954569000000001E-2</v>
      </c>
      <c r="BU95">
        <v>4.9636428999999998E-3</v>
      </c>
      <c r="BV95">
        <v>2.3394813000000001E-3</v>
      </c>
      <c r="BW95" s="2">
        <v>4.7952012999999999E-7</v>
      </c>
      <c r="BX95">
        <v>0</v>
      </c>
      <c r="BY95">
        <v>0</v>
      </c>
      <c r="BZ95">
        <v>6</v>
      </c>
      <c r="CA95">
        <v>584.08181520000005</v>
      </c>
      <c r="CB95">
        <v>472.6131072</v>
      </c>
      <c r="CC95">
        <v>111.46870800000001</v>
      </c>
      <c r="CD95">
        <v>25.955665320000001</v>
      </c>
      <c r="CE95">
        <v>25.955665320000001</v>
      </c>
      <c r="CF95">
        <v>0</v>
      </c>
      <c r="CG95">
        <v>31.07843076</v>
      </c>
      <c r="CH95">
        <v>31.07843076</v>
      </c>
      <c r="CI95">
        <v>0</v>
      </c>
      <c r="CJ95">
        <v>0.1010456382</v>
      </c>
      <c r="CK95">
        <v>3.871641462E-2</v>
      </c>
      <c r="CL95">
        <v>1.8247954140000001E-2</v>
      </c>
      <c r="CM95" s="2">
        <v>3.7402570140000001E-6</v>
      </c>
      <c r="CN95">
        <v>38.121884059999999</v>
      </c>
      <c r="CO95">
        <v>244.23418852482999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</row>
    <row r="96" spans="1:106" x14ac:dyDescent="0.25">
      <c r="A96">
        <v>25868</v>
      </c>
      <c r="B96" t="s">
        <v>284</v>
      </c>
      <c r="C96">
        <v>50</v>
      </c>
      <c r="D96" t="s">
        <v>261</v>
      </c>
      <c r="E96">
        <v>2</v>
      </c>
      <c r="F96" t="s">
        <v>167</v>
      </c>
      <c r="G96">
        <v>31799.16</v>
      </c>
      <c r="H96" t="s">
        <v>0</v>
      </c>
      <c r="I96">
        <v>4</v>
      </c>
      <c r="J96">
        <v>31799.16</v>
      </c>
      <c r="L96">
        <v>92117.401014000003</v>
      </c>
      <c r="O96">
        <v>796829</v>
      </c>
      <c r="P96" t="s">
        <v>58</v>
      </c>
      <c r="Q96">
        <v>114</v>
      </c>
      <c r="R96" t="s">
        <v>262</v>
      </c>
      <c r="S96" t="s">
        <v>263</v>
      </c>
      <c r="T96">
        <v>0</v>
      </c>
      <c r="V96">
        <v>2142707274</v>
      </c>
      <c r="W96" t="s">
        <v>48</v>
      </c>
      <c r="Y96">
        <v>0.09</v>
      </c>
      <c r="AF96" t="s">
        <v>29</v>
      </c>
      <c r="AG96" t="s">
        <v>30</v>
      </c>
      <c r="AH96" s="1">
        <v>1</v>
      </c>
      <c r="AI96">
        <v>0.09</v>
      </c>
      <c r="AJ96">
        <v>2000</v>
      </c>
      <c r="AK96">
        <v>180</v>
      </c>
      <c r="AM96">
        <v>180</v>
      </c>
      <c r="AN96">
        <v>0</v>
      </c>
      <c r="AO96">
        <v>0</v>
      </c>
      <c r="AP96" t="s">
        <v>0</v>
      </c>
      <c r="AQ96" t="s">
        <v>264</v>
      </c>
      <c r="AR96">
        <v>30358</v>
      </c>
      <c r="AS96" t="s">
        <v>265</v>
      </c>
      <c r="AT96">
        <v>2</v>
      </c>
      <c r="AU96">
        <v>1</v>
      </c>
      <c r="AV96" t="s">
        <v>266</v>
      </c>
      <c r="AW96">
        <v>0</v>
      </c>
      <c r="AX96">
        <v>50</v>
      </c>
      <c r="AY96">
        <v>50</v>
      </c>
      <c r="AZ96" t="s">
        <v>285</v>
      </c>
      <c r="BC96">
        <v>3</v>
      </c>
      <c r="BE96">
        <v>4</v>
      </c>
      <c r="BG96">
        <v>100</v>
      </c>
      <c r="BH96">
        <v>0</v>
      </c>
      <c r="BI96">
        <v>0</v>
      </c>
      <c r="BK96">
        <v>1.3382216</v>
      </c>
      <c r="BL96">
        <v>1.3382216</v>
      </c>
      <c r="BM96">
        <v>0</v>
      </c>
      <c r="BN96">
        <v>0.12393289</v>
      </c>
      <c r="BO96">
        <v>0.12393289</v>
      </c>
      <c r="BP96">
        <v>0</v>
      </c>
      <c r="BQ96">
        <v>0.15118186</v>
      </c>
      <c r="BR96">
        <v>0.15118186</v>
      </c>
      <c r="BS96">
        <v>0</v>
      </c>
      <c r="BT96">
        <v>3.1549675E-4</v>
      </c>
      <c r="BU96">
        <v>2.0401282E-4</v>
      </c>
      <c r="BV96" s="2">
        <v>4.8205521000000002E-5</v>
      </c>
      <c r="BW96" s="2">
        <v>4.8452447E-9</v>
      </c>
      <c r="BX96">
        <v>0</v>
      </c>
      <c r="BY96">
        <v>0</v>
      </c>
      <c r="BZ96">
        <v>6</v>
      </c>
      <c r="CA96">
        <v>240.87988799999999</v>
      </c>
      <c r="CB96">
        <v>240.87988799999999</v>
      </c>
      <c r="CC96">
        <v>0</v>
      </c>
      <c r="CD96">
        <v>22.307920200000002</v>
      </c>
      <c r="CE96">
        <v>22.307920200000002</v>
      </c>
      <c r="CF96">
        <v>0</v>
      </c>
      <c r="CG96">
        <v>27.2127348</v>
      </c>
      <c r="CH96">
        <v>27.2127348</v>
      </c>
      <c r="CI96">
        <v>0</v>
      </c>
      <c r="CJ96">
        <v>5.6789415000000003E-2</v>
      </c>
      <c r="CK96">
        <v>3.6722307599999997E-2</v>
      </c>
      <c r="CL96">
        <v>8.6769937799999995E-3</v>
      </c>
      <c r="CM96" s="2">
        <v>8.7214404599999999E-7</v>
      </c>
      <c r="CN96">
        <v>20.136707399999999</v>
      </c>
      <c r="CO96">
        <v>244.23418852482999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</row>
    <row r="97" spans="1:106" x14ac:dyDescent="0.25">
      <c r="A97">
        <v>25868</v>
      </c>
      <c r="B97" t="s">
        <v>284</v>
      </c>
      <c r="C97">
        <v>50</v>
      </c>
      <c r="D97" t="s">
        <v>261</v>
      </c>
      <c r="E97">
        <v>2</v>
      </c>
      <c r="F97" t="s">
        <v>167</v>
      </c>
      <c r="G97">
        <v>31799.16</v>
      </c>
      <c r="H97" t="s">
        <v>0</v>
      </c>
      <c r="I97">
        <v>4</v>
      </c>
      <c r="J97">
        <v>31799.16</v>
      </c>
      <c r="L97">
        <v>92117.401014000003</v>
      </c>
      <c r="O97">
        <v>796829</v>
      </c>
      <c r="P97" t="s">
        <v>58</v>
      </c>
      <c r="Q97">
        <v>114</v>
      </c>
      <c r="R97" t="s">
        <v>262</v>
      </c>
      <c r="S97" t="s">
        <v>263</v>
      </c>
      <c r="T97">
        <v>0</v>
      </c>
      <c r="V97">
        <v>2142719798</v>
      </c>
      <c r="W97" t="s">
        <v>49</v>
      </c>
      <c r="Y97">
        <v>8.8000000000000005E-3</v>
      </c>
      <c r="AF97" t="s">
        <v>29</v>
      </c>
      <c r="AG97" t="s">
        <v>30</v>
      </c>
      <c r="AH97" s="1">
        <v>1</v>
      </c>
      <c r="AI97">
        <v>8.8000000000000005E-3</v>
      </c>
      <c r="AJ97">
        <v>300</v>
      </c>
      <c r="AK97">
        <v>2.64</v>
      </c>
      <c r="AM97">
        <v>2.64</v>
      </c>
      <c r="AN97">
        <v>0</v>
      </c>
      <c r="AO97">
        <v>0</v>
      </c>
      <c r="AP97" t="s">
        <v>0</v>
      </c>
      <c r="AQ97" t="s">
        <v>264</v>
      </c>
      <c r="AR97">
        <v>30358</v>
      </c>
      <c r="AS97" t="s">
        <v>265</v>
      </c>
      <c r="AT97">
        <v>3</v>
      </c>
      <c r="AU97">
        <v>1</v>
      </c>
      <c r="AV97" t="s">
        <v>266</v>
      </c>
      <c r="AW97">
        <v>1</v>
      </c>
      <c r="AX97">
        <v>25</v>
      </c>
      <c r="AY97">
        <v>25</v>
      </c>
      <c r="AZ97" t="s">
        <v>286</v>
      </c>
      <c r="BC97">
        <v>3</v>
      </c>
      <c r="BE97">
        <v>3</v>
      </c>
      <c r="BG97">
        <v>0</v>
      </c>
      <c r="BH97">
        <v>100</v>
      </c>
      <c r="BI97">
        <v>0</v>
      </c>
      <c r="BK97">
        <v>85.988403000000005</v>
      </c>
      <c r="BL97">
        <v>43.518402999999999</v>
      </c>
      <c r="BM97">
        <v>42.47</v>
      </c>
      <c r="BN97">
        <v>1.3022769000000001</v>
      </c>
      <c r="BO97">
        <v>1.3022769000000001</v>
      </c>
      <c r="BP97">
        <v>0</v>
      </c>
      <c r="BQ97">
        <v>2.8430924000000002</v>
      </c>
      <c r="BR97">
        <v>2.8640924000000001</v>
      </c>
      <c r="BS97">
        <v>-2.1000000000000001E-2</v>
      </c>
      <c r="BT97">
        <v>8.3217996000000006E-3</v>
      </c>
      <c r="BU97">
        <v>1.6064606999999999E-3</v>
      </c>
      <c r="BV97">
        <v>2.4785428000000001E-3</v>
      </c>
      <c r="BW97" s="2">
        <v>3.9116873999999998E-8</v>
      </c>
      <c r="BX97">
        <v>0</v>
      </c>
      <c r="BY97">
        <v>0</v>
      </c>
      <c r="BZ97">
        <v>6</v>
      </c>
      <c r="CA97">
        <v>454.01876784000001</v>
      </c>
      <c r="CB97">
        <v>229.77716784</v>
      </c>
      <c r="CC97">
        <v>224.24160000000001</v>
      </c>
      <c r="CD97">
        <v>6.8760220319999998</v>
      </c>
      <c r="CE97">
        <v>6.8760220319999998</v>
      </c>
      <c r="CF97">
        <v>0</v>
      </c>
      <c r="CG97">
        <v>15.066967871999999</v>
      </c>
      <c r="CH97">
        <v>15.122407872</v>
      </c>
      <c r="CI97">
        <v>-5.5440000000000003E-2</v>
      </c>
      <c r="CJ97">
        <v>4.3939101888000001E-2</v>
      </c>
      <c r="CK97">
        <v>8.4821124959999997E-3</v>
      </c>
      <c r="CL97">
        <v>1.3086705984E-2</v>
      </c>
      <c r="CM97" s="2">
        <v>2.0653709471999999E-7</v>
      </c>
      <c r="CN97">
        <v>23.503667158399999</v>
      </c>
      <c r="CO97">
        <v>244.23418852482999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</row>
    <row r="98" spans="1:106" x14ac:dyDescent="0.25">
      <c r="A98">
        <v>25868</v>
      </c>
      <c r="B98" t="s">
        <v>284</v>
      </c>
      <c r="C98">
        <v>50</v>
      </c>
      <c r="D98" t="s">
        <v>261</v>
      </c>
      <c r="E98">
        <v>2</v>
      </c>
      <c r="F98" t="s">
        <v>167</v>
      </c>
      <c r="G98">
        <v>31799.16</v>
      </c>
      <c r="H98" t="s">
        <v>0</v>
      </c>
      <c r="I98">
        <v>4</v>
      </c>
      <c r="J98">
        <v>31799.16</v>
      </c>
      <c r="L98">
        <v>92117.401014000003</v>
      </c>
      <c r="O98">
        <v>796829</v>
      </c>
      <c r="P98" t="s">
        <v>58</v>
      </c>
      <c r="Q98">
        <v>114</v>
      </c>
      <c r="R98" t="s">
        <v>262</v>
      </c>
      <c r="S98" t="s">
        <v>263</v>
      </c>
      <c r="T98">
        <v>0</v>
      </c>
      <c r="V98">
        <v>2142718134</v>
      </c>
      <c r="W98" t="s">
        <v>50</v>
      </c>
      <c r="Y98">
        <v>0.03</v>
      </c>
      <c r="AF98" t="s">
        <v>29</v>
      </c>
      <c r="AG98" t="s">
        <v>30</v>
      </c>
      <c r="AH98" s="1">
        <v>1</v>
      </c>
      <c r="AI98">
        <v>0.03</v>
      </c>
      <c r="AJ98">
        <v>11</v>
      </c>
      <c r="AK98">
        <v>0.33</v>
      </c>
      <c r="AM98">
        <v>0.33</v>
      </c>
      <c r="AN98">
        <v>0</v>
      </c>
      <c r="AO98">
        <v>0</v>
      </c>
      <c r="AP98" t="s">
        <v>0</v>
      </c>
      <c r="AQ98" t="s">
        <v>264</v>
      </c>
      <c r="AR98">
        <v>30358</v>
      </c>
      <c r="AS98" t="s">
        <v>265</v>
      </c>
      <c r="AT98">
        <v>4</v>
      </c>
      <c r="AU98">
        <v>1</v>
      </c>
      <c r="AV98" t="s">
        <v>266</v>
      </c>
      <c r="AW98">
        <v>0</v>
      </c>
      <c r="AX98">
        <v>50</v>
      </c>
      <c r="AY98">
        <v>50</v>
      </c>
      <c r="AZ98" t="s">
        <v>285</v>
      </c>
      <c r="BC98">
        <v>4</v>
      </c>
      <c r="BE98">
        <v>3</v>
      </c>
      <c r="BG98">
        <v>0</v>
      </c>
      <c r="BH98">
        <v>100</v>
      </c>
      <c r="BI98">
        <v>0</v>
      </c>
      <c r="BK98">
        <v>98.895520000000005</v>
      </c>
      <c r="BL98">
        <v>58.895519999999998</v>
      </c>
      <c r="BM98">
        <v>40</v>
      </c>
      <c r="BN98">
        <v>0.95935762000000002</v>
      </c>
      <c r="BO98">
        <v>0.95935762000000002</v>
      </c>
      <c r="BP98">
        <v>0</v>
      </c>
      <c r="BQ98">
        <v>4.2053807000000001</v>
      </c>
      <c r="BR98">
        <v>4.2053807000000001</v>
      </c>
      <c r="BS98">
        <v>0</v>
      </c>
      <c r="BT98">
        <v>1.4900439E-2</v>
      </c>
      <c r="BU98">
        <v>2.6115595E-3</v>
      </c>
      <c r="BV98">
        <v>9.1377113000000003E-3</v>
      </c>
      <c r="BW98" s="2">
        <v>1.3195599999999999E-7</v>
      </c>
      <c r="BX98">
        <v>0</v>
      </c>
      <c r="BY98">
        <v>0</v>
      </c>
      <c r="BZ98">
        <v>6</v>
      </c>
      <c r="CA98">
        <v>32.635521599999997</v>
      </c>
      <c r="CB98">
        <v>19.435521600000001</v>
      </c>
      <c r="CC98">
        <v>13.2</v>
      </c>
      <c r="CD98">
        <v>0.31658801460000002</v>
      </c>
      <c r="CE98">
        <v>0.31658801460000002</v>
      </c>
      <c r="CF98">
        <v>0</v>
      </c>
      <c r="CG98">
        <v>1.387775631</v>
      </c>
      <c r="CH98">
        <v>1.387775631</v>
      </c>
      <c r="CI98">
        <v>0</v>
      </c>
      <c r="CJ98">
        <v>4.91714487E-3</v>
      </c>
      <c r="CK98">
        <v>8.6181463499999998E-4</v>
      </c>
      <c r="CL98">
        <v>3.0154447290000001E-3</v>
      </c>
      <c r="CM98" s="2">
        <v>4.3545479999999998E-8</v>
      </c>
      <c r="CN98">
        <v>1.9747659744999999</v>
      </c>
      <c r="CO98">
        <v>244.23418852482999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</row>
    <row r="99" spans="1:106" x14ac:dyDescent="0.25">
      <c r="A99">
        <v>25868</v>
      </c>
      <c r="B99" t="s">
        <v>284</v>
      </c>
      <c r="C99">
        <v>50</v>
      </c>
      <c r="D99" t="s">
        <v>261</v>
      </c>
      <c r="E99">
        <v>2</v>
      </c>
      <c r="F99" t="s">
        <v>167</v>
      </c>
      <c r="G99">
        <v>31799.16</v>
      </c>
      <c r="H99" t="s">
        <v>0</v>
      </c>
      <c r="I99">
        <v>4</v>
      </c>
      <c r="J99">
        <v>31799.16</v>
      </c>
      <c r="L99">
        <v>92117.401014000003</v>
      </c>
      <c r="O99">
        <v>796829</v>
      </c>
      <c r="P99" t="s">
        <v>58</v>
      </c>
      <c r="Q99">
        <v>114</v>
      </c>
      <c r="R99" t="s">
        <v>262</v>
      </c>
      <c r="S99" t="s">
        <v>263</v>
      </c>
      <c r="T99">
        <v>0</v>
      </c>
      <c r="V99">
        <v>2142732302</v>
      </c>
      <c r="W99" t="s">
        <v>51</v>
      </c>
      <c r="Y99">
        <v>1E-3</v>
      </c>
      <c r="AF99" t="s">
        <v>29</v>
      </c>
      <c r="AG99" t="s">
        <v>30</v>
      </c>
      <c r="AH99" s="1">
        <v>1</v>
      </c>
      <c r="AI99">
        <v>1E-3</v>
      </c>
      <c r="AJ99">
        <v>300</v>
      </c>
      <c r="AK99">
        <v>0.3</v>
      </c>
      <c r="AM99">
        <v>0.3</v>
      </c>
      <c r="AN99">
        <v>0</v>
      </c>
      <c r="AO99">
        <v>0</v>
      </c>
      <c r="AP99" t="s">
        <v>0</v>
      </c>
      <c r="AQ99" t="s">
        <v>264</v>
      </c>
      <c r="AR99">
        <v>30358</v>
      </c>
      <c r="AS99" t="s">
        <v>265</v>
      </c>
      <c r="AT99">
        <v>5</v>
      </c>
      <c r="AU99">
        <v>1</v>
      </c>
      <c r="AV99" t="s">
        <v>266</v>
      </c>
      <c r="AW99">
        <v>1</v>
      </c>
      <c r="AX99">
        <v>25</v>
      </c>
      <c r="AY99">
        <v>25</v>
      </c>
      <c r="AZ99" t="s">
        <v>286</v>
      </c>
      <c r="BC99">
        <v>3</v>
      </c>
      <c r="BE99">
        <v>3</v>
      </c>
      <c r="BG99">
        <v>0</v>
      </c>
      <c r="BH99">
        <v>100</v>
      </c>
      <c r="BI99">
        <v>0</v>
      </c>
      <c r="BK99">
        <v>85.988403000000005</v>
      </c>
      <c r="BL99">
        <v>43.518402999999999</v>
      </c>
      <c r="BM99">
        <v>42.47</v>
      </c>
      <c r="BN99">
        <v>1.3022769000000001</v>
      </c>
      <c r="BO99">
        <v>1.3022769000000001</v>
      </c>
      <c r="BP99">
        <v>0</v>
      </c>
      <c r="BQ99">
        <v>2.8430924000000002</v>
      </c>
      <c r="BR99">
        <v>2.8640924000000001</v>
      </c>
      <c r="BS99">
        <v>-2.1000000000000001E-2</v>
      </c>
      <c r="BT99">
        <v>8.3217996000000006E-3</v>
      </c>
      <c r="BU99">
        <v>1.6064606999999999E-3</v>
      </c>
      <c r="BV99">
        <v>2.4785428000000001E-3</v>
      </c>
      <c r="BW99" s="2">
        <v>3.9116873999999998E-8</v>
      </c>
      <c r="BX99">
        <v>1</v>
      </c>
      <c r="BY99">
        <v>0</v>
      </c>
      <c r="BZ99">
        <v>6</v>
      </c>
      <c r="CA99">
        <v>51.593041800000002</v>
      </c>
      <c r="CB99">
        <v>26.111041799999999</v>
      </c>
      <c r="CC99">
        <v>25.481999999999999</v>
      </c>
      <c r="CD99">
        <v>0.78136614000000004</v>
      </c>
      <c r="CE99">
        <v>0.78136614000000004</v>
      </c>
      <c r="CF99">
        <v>0</v>
      </c>
      <c r="CG99">
        <v>1.7121554400000001</v>
      </c>
      <c r="CH99">
        <v>1.7184554400000001</v>
      </c>
      <c r="CI99">
        <v>-6.3E-3</v>
      </c>
      <c r="CJ99">
        <v>4.9930797599999997E-3</v>
      </c>
      <c r="CK99">
        <v>9.6387641999999996E-4</v>
      </c>
      <c r="CL99">
        <v>1.4871256800000001E-3</v>
      </c>
      <c r="CM99" s="2">
        <v>2.3470124400000001E-8</v>
      </c>
      <c r="CN99">
        <v>2.670871268</v>
      </c>
      <c r="CO99">
        <v>244.23418852482999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</row>
    <row r="100" spans="1:106" x14ac:dyDescent="0.25">
      <c r="A100">
        <v>25868</v>
      </c>
      <c r="B100" t="s">
        <v>284</v>
      </c>
      <c r="C100">
        <v>50</v>
      </c>
      <c r="D100" t="s">
        <v>261</v>
      </c>
      <c r="E100">
        <v>2</v>
      </c>
      <c r="F100" t="s">
        <v>167</v>
      </c>
      <c r="G100">
        <v>31799.16</v>
      </c>
      <c r="H100" t="s">
        <v>0</v>
      </c>
      <c r="I100">
        <v>4</v>
      </c>
      <c r="J100">
        <v>31799.16</v>
      </c>
      <c r="L100">
        <v>92117.401014000003</v>
      </c>
      <c r="O100">
        <v>796829</v>
      </c>
      <c r="P100" t="s">
        <v>58</v>
      </c>
      <c r="Q100">
        <v>114</v>
      </c>
      <c r="R100" t="s">
        <v>262</v>
      </c>
      <c r="S100" t="s">
        <v>263</v>
      </c>
      <c r="T100">
        <v>0</v>
      </c>
      <c r="W100" t="s">
        <v>52</v>
      </c>
      <c r="X100" t="s">
        <v>292</v>
      </c>
      <c r="Y100">
        <v>5.7000000000000002E-2</v>
      </c>
      <c r="AF100" t="s">
        <v>29</v>
      </c>
      <c r="AG100" t="s">
        <v>30</v>
      </c>
      <c r="AH100" s="1">
        <v>1</v>
      </c>
      <c r="AI100">
        <v>5.7000000000000002E-2</v>
      </c>
      <c r="AJ100">
        <v>1800</v>
      </c>
      <c r="AK100">
        <v>102.6</v>
      </c>
      <c r="AM100">
        <v>102.6</v>
      </c>
      <c r="AN100">
        <v>0</v>
      </c>
      <c r="AO100">
        <v>0</v>
      </c>
      <c r="AP100" t="s">
        <v>0</v>
      </c>
      <c r="AQ100" t="s">
        <v>264</v>
      </c>
      <c r="AR100">
        <v>30358</v>
      </c>
      <c r="AS100" t="s">
        <v>265</v>
      </c>
      <c r="AT100">
        <v>6</v>
      </c>
      <c r="AU100">
        <v>1</v>
      </c>
      <c r="AV100" t="s">
        <v>266</v>
      </c>
      <c r="AW100">
        <v>0</v>
      </c>
      <c r="AX100">
        <v>50</v>
      </c>
      <c r="AY100">
        <v>50</v>
      </c>
      <c r="AZ100" t="s">
        <v>285</v>
      </c>
      <c r="BC100">
        <v>2</v>
      </c>
      <c r="BE100">
        <v>3</v>
      </c>
      <c r="BG100">
        <v>100</v>
      </c>
      <c r="BH100">
        <v>0</v>
      </c>
      <c r="BI100">
        <v>0</v>
      </c>
      <c r="BK100">
        <v>0.19234907000000001</v>
      </c>
      <c r="BL100">
        <v>0.19234907000000001</v>
      </c>
      <c r="BM100">
        <v>0</v>
      </c>
      <c r="BN100">
        <v>5.6653924999999997E-3</v>
      </c>
      <c r="BO100">
        <v>5.6653924999999997E-3</v>
      </c>
      <c r="BP100">
        <v>0</v>
      </c>
      <c r="BQ100">
        <v>2.0272476000000001E-2</v>
      </c>
      <c r="BR100">
        <v>2.0272476000000001E-2</v>
      </c>
      <c r="BS100">
        <v>0</v>
      </c>
      <c r="BT100" s="2">
        <v>6.7317381999999998E-5</v>
      </c>
      <c r="BU100" s="2">
        <v>2.8679226999999999E-5</v>
      </c>
      <c r="BV100" s="2">
        <v>8.6913223999999992E-6</v>
      </c>
      <c r="BW100" s="2">
        <v>9.4606329999999995E-10</v>
      </c>
      <c r="BX100">
        <v>0</v>
      </c>
      <c r="BY100">
        <v>0</v>
      </c>
      <c r="BZ100">
        <v>6</v>
      </c>
      <c r="CA100">
        <v>19.735014582000002</v>
      </c>
      <c r="CB100">
        <v>19.735014582000002</v>
      </c>
      <c r="CC100">
        <v>0</v>
      </c>
      <c r="CD100">
        <v>0.58126927049999999</v>
      </c>
      <c r="CE100">
        <v>0.58126927049999999</v>
      </c>
      <c r="CF100">
        <v>0</v>
      </c>
      <c r="CG100">
        <v>2.0799560376000001</v>
      </c>
      <c r="CH100">
        <v>2.0799560376000001</v>
      </c>
      <c r="CI100">
        <v>0</v>
      </c>
      <c r="CJ100">
        <v>6.9067633932000001E-3</v>
      </c>
      <c r="CK100">
        <v>2.9424886902000001E-3</v>
      </c>
      <c r="CL100">
        <v>8.9172967824000004E-4</v>
      </c>
      <c r="CM100" s="2">
        <v>9.7066094580000001E-8</v>
      </c>
      <c r="CN100">
        <v>1.9253949447600001</v>
      </c>
      <c r="CO100">
        <v>244.23418852482999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</row>
    <row r="101" spans="1:106" x14ac:dyDescent="0.25">
      <c r="A101">
        <v>25868</v>
      </c>
      <c r="B101" t="s">
        <v>284</v>
      </c>
      <c r="C101">
        <v>50</v>
      </c>
      <c r="D101" t="s">
        <v>261</v>
      </c>
      <c r="E101">
        <v>2</v>
      </c>
      <c r="F101" t="s">
        <v>167</v>
      </c>
      <c r="G101">
        <v>31799.16</v>
      </c>
      <c r="H101" t="s">
        <v>0</v>
      </c>
      <c r="I101">
        <v>4</v>
      </c>
      <c r="J101">
        <v>31799.16</v>
      </c>
      <c r="L101">
        <v>92117.401014000003</v>
      </c>
      <c r="O101">
        <v>796829</v>
      </c>
      <c r="P101" t="s">
        <v>58</v>
      </c>
      <c r="Q101">
        <v>114</v>
      </c>
      <c r="R101" t="s">
        <v>262</v>
      </c>
      <c r="S101" t="s">
        <v>263</v>
      </c>
      <c r="T101">
        <v>0</v>
      </c>
      <c r="W101" t="s">
        <v>16</v>
      </c>
      <c r="Y101">
        <v>0.35</v>
      </c>
      <c r="AF101" t="s">
        <v>29</v>
      </c>
      <c r="AG101" t="s">
        <v>30</v>
      </c>
      <c r="AH101" s="1">
        <v>1</v>
      </c>
      <c r="AI101">
        <v>0.35</v>
      </c>
      <c r="AJ101">
        <v>2325</v>
      </c>
      <c r="AK101">
        <v>813.75</v>
      </c>
      <c r="AM101">
        <v>813.75</v>
      </c>
      <c r="AN101">
        <v>0</v>
      </c>
      <c r="AO101">
        <v>0</v>
      </c>
      <c r="AP101" t="s">
        <v>0</v>
      </c>
      <c r="AQ101" t="s">
        <v>264</v>
      </c>
      <c r="AR101">
        <v>30358</v>
      </c>
      <c r="AS101" t="s">
        <v>265</v>
      </c>
      <c r="AT101">
        <v>7</v>
      </c>
      <c r="AU101">
        <v>1</v>
      </c>
      <c r="AV101" t="s">
        <v>266</v>
      </c>
      <c r="AW101">
        <v>0</v>
      </c>
      <c r="AX101">
        <v>100</v>
      </c>
      <c r="AY101">
        <v>100</v>
      </c>
      <c r="AZ101" t="s">
        <v>267</v>
      </c>
      <c r="BK101">
        <v>1.5660049</v>
      </c>
      <c r="BL101">
        <v>1.5660049</v>
      </c>
      <c r="BM101">
        <v>0</v>
      </c>
      <c r="BN101">
        <v>4.7475960999999997E-2</v>
      </c>
      <c r="BO101">
        <v>4.7475960999999997E-2</v>
      </c>
      <c r="BP101">
        <v>0</v>
      </c>
      <c r="BQ101">
        <v>0.15291231999999999</v>
      </c>
      <c r="BR101">
        <v>0.15291231999999999</v>
      </c>
      <c r="BS101">
        <v>0</v>
      </c>
      <c r="BT101">
        <v>3.9132148000000001E-4</v>
      </c>
      <c r="BU101">
        <v>2.4656103E-4</v>
      </c>
      <c r="BV101" s="2">
        <v>7.7190705E-5</v>
      </c>
      <c r="BW101" s="2">
        <v>4.5130751999999996E-9</v>
      </c>
      <c r="BX101">
        <v>1</v>
      </c>
      <c r="BY101">
        <v>0</v>
      </c>
      <c r="BZ101">
        <v>6</v>
      </c>
      <c r="CA101">
        <v>1274.3364873749999</v>
      </c>
      <c r="CB101">
        <v>1274.3364873749999</v>
      </c>
      <c r="CC101">
        <v>0</v>
      </c>
      <c r="CD101">
        <v>38.633563263749998</v>
      </c>
      <c r="CE101">
        <v>38.633563263749998</v>
      </c>
      <c r="CF101">
        <v>0</v>
      </c>
      <c r="CG101">
        <v>124.43240040000001</v>
      </c>
      <c r="CH101">
        <v>124.43240040000001</v>
      </c>
      <c r="CI101">
        <v>0</v>
      </c>
      <c r="CJ101">
        <v>0.31843785434999999</v>
      </c>
      <c r="CK101">
        <v>0.20063903816250001</v>
      </c>
      <c r="CL101">
        <v>6.2813936193750003E-2</v>
      </c>
      <c r="CM101" s="2">
        <v>3.672514944E-6</v>
      </c>
      <c r="CN101">
        <v>105.6749968925</v>
      </c>
      <c r="CO101">
        <v>244.23418852482999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</row>
    <row r="102" spans="1:106" x14ac:dyDescent="0.25">
      <c r="A102">
        <v>25868</v>
      </c>
      <c r="B102" t="s">
        <v>284</v>
      </c>
      <c r="C102">
        <v>50</v>
      </c>
      <c r="D102" t="s">
        <v>261</v>
      </c>
      <c r="E102">
        <v>2</v>
      </c>
      <c r="F102" t="s">
        <v>167</v>
      </c>
      <c r="G102">
        <v>31799.16</v>
      </c>
      <c r="H102" t="s">
        <v>0</v>
      </c>
      <c r="I102">
        <v>4</v>
      </c>
      <c r="J102">
        <v>31799.16</v>
      </c>
      <c r="L102">
        <v>92117.401014000003</v>
      </c>
      <c r="O102">
        <v>796829</v>
      </c>
      <c r="P102" t="s">
        <v>58</v>
      </c>
      <c r="Q102">
        <v>114</v>
      </c>
      <c r="R102" t="s">
        <v>262</v>
      </c>
      <c r="S102" t="s">
        <v>263</v>
      </c>
      <c r="T102">
        <v>0</v>
      </c>
      <c r="V102">
        <v>2142710056</v>
      </c>
      <c r="W102" t="s">
        <v>57</v>
      </c>
      <c r="Y102">
        <v>0.16</v>
      </c>
      <c r="AF102" t="s">
        <v>29</v>
      </c>
      <c r="AG102" t="s">
        <v>30</v>
      </c>
      <c r="AH102" s="1">
        <v>1</v>
      </c>
      <c r="AI102">
        <v>0.16</v>
      </c>
      <c r="AJ102">
        <v>105</v>
      </c>
      <c r="AK102">
        <v>16.8</v>
      </c>
      <c r="AM102">
        <v>16.8</v>
      </c>
      <c r="AN102">
        <v>0</v>
      </c>
      <c r="AO102">
        <v>0</v>
      </c>
      <c r="AP102" t="s">
        <v>0</v>
      </c>
      <c r="AQ102" t="s">
        <v>264</v>
      </c>
      <c r="AR102">
        <v>30358</v>
      </c>
      <c r="AS102" t="s">
        <v>265</v>
      </c>
      <c r="AT102">
        <v>8</v>
      </c>
      <c r="AU102">
        <v>1</v>
      </c>
      <c r="AV102" t="s">
        <v>266</v>
      </c>
      <c r="AW102">
        <v>1</v>
      </c>
      <c r="AX102">
        <v>35</v>
      </c>
      <c r="AY102">
        <v>35</v>
      </c>
      <c r="AZ102" t="s">
        <v>293</v>
      </c>
      <c r="BC102">
        <v>4</v>
      </c>
      <c r="BE102">
        <v>3</v>
      </c>
      <c r="BG102">
        <v>100</v>
      </c>
      <c r="BH102">
        <v>0</v>
      </c>
      <c r="BI102">
        <v>0</v>
      </c>
      <c r="BK102">
        <v>21.343074999999999</v>
      </c>
      <c r="BL102">
        <v>21.343074999999999</v>
      </c>
      <c r="BM102">
        <v>0</v>
      </c>
      <c r="BN102">
        <v>0.78469758000000001</v>
      </c>
      <c r="BO102">
        <v>0.78469758000000001</v>
      </c>
      <c r="BP102">
        <v>0</v>
      </c>
      <c r="BQ102">
        <v>1.7409311000000001</v>
      </c>
      <c r="BR102">
        <v>1.7409311000000001</v>
      </c>
      <c r="BS102">
        <v>0</v>
      </c>
      <c r="BT102">
        <v>1.1809325000000001E-2</v>
      </c>
      <c r="BU102">
        <v>3.1100953999999999E-3</v>
      </c>
      <c r="BV102">
        <v>5.0632319000000004E-3</v>
      </c>
      <c r="BW102" s="2">
        <v>7.0109999999999997E-8</v>
      </c>
      <c r="BX102">
        <v>1</v>
      </c>
      <c r="BY102">
        <v>0</v>
      </c>
      <c r="BZ102">
        <v>6</v>
      </c>
      <c r="CA102">
        <v>717.12732000000005</v>
      </c>
      <c r="CB102">
        <v>717.12732000000005</v>
      </c>
      <c r="CC102">
        <v>0</v>
      </c>
      <c r="CD102">
        <v>26.365838688</v>
      </c>
      <c r="CE102">
        <v>26.365838688</v>
      </c>
      <c r="CF102">
        <v>0</v>
      </c>
      <c r="CG102">
        <v>58.495284959999999</v>
      </c>
      <c r="CH102">
        <v>58.495284959999999</v>
      </c>
      <c r="CI102">
        <v>0</v>
      </c>
      <c r="CJ102">
        <v>0.39679332</v>
      </c>
      <c r="CK102">
        <v>0.10449920544000001</v>
      </c>
      <c r="CL102">
        <v>0.17012459184000001</v>
      </c>
      <c r="CM102" s="2">
        <v>2.3556960000000001E-6</v>
      </c>
      <c r="CN102">
        <v>86.559234160000003</v>
      </c>
      <c r="CO102">
        <v>244.23418852482999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</row>
    <row r="103" spans="1:106" x14ac:dyDescent="0.25">
      <c r="A103">
        <v>25868</v>
      </c>
      <c r="B103" t="s">
        <v>284</v>
      </c>
      <c r="C103">
        <v>50</v>
      </c>
      <c r="D103" t="s">
        <v>261</v>
      </c>
      <c r="E103">
        <v>2</v>
      </c>
      <c r="F103" t="s">
        <v>167</v>
      </c>
      <c r="G103">
        <v>31799.16</v>
      </c>
      <c r="H103" t="s">
        <v>0</v>
      </c>
      <c r="I103">
        <v>4</v>
      </c>
      <c r="J103">
        <v>31799.16</v>
      </c>
      <c r="L103">
        <v>92117.401014000003</v>
      </c>
      <c r="O103">
        <v>796834</v>
      </c>
      <c r="P103" t="s">
        <v>59</v>
      </c>
      <c r="Q103">
        <v>114</v>
      </c>
      <c r="R103" t="s">
        <v>262</v>
      </c>
      <c r="S103" t="s">
        <v>263</v>
      </c>
      <c r="T103">
        <v>0</v>
      </c>
      <c r="V103">
        <v>2142686315</v>
      </c>
      <c r="W103" t="s">
        <v>60</v>
      </c>
      <c r="Y103">
        <v>1.4E-2</v>
      </c>
      <c r="AF103" t="s">
        <v>29</v>
      </c>
      <c r="AG103" t="s">
        <v>30</v>
      </c>
      <c r="AH103" s="1">
        <v>1</v>
      </c>
      <c r="AI103">
        <v>1.4E-2</v>
      </c>
      <c r="AJ103">
        <v>500</v>
      </c>
      <c r="AK103">
        <v>7</v>
      </c>
      <c r="AM103">
        <v>7</v>
      </c>
      <c r="AN103">
        <v>0</v>
      </c>
      <c r="AO103">
        <v>0</v>
      </c>
      <c r="AP103" t="s">
        <v>0</v>
      </c>
      <c r="AQ103" t="s">
        <v>264</v>
      </c>
      <c r="AR103">
        <v>30358</v>
      </c>
      <c r="AS103" t="s">
        <v>265</v>
      </c>
      <c r="AT103">
        <v>1</v>
      </c>
      <c r="AU103">
        <v>1</v>
      </c>
      <c r="AV103" t="s">
        <v>266</v>
      </c>
      <c r="AW103">
        <v>1</v>
      </c>
      <c r="AX103">
        <v>25</v>
      </c>
      <c r="AY103">
        <v>25</v>
      </c>
      <c r="AZ103" t="s">
        <v>291</v>
      </c>
      <c r="BC103">
        <v>2</v>
      </c>
      <c r="BE103">
        <v>2</v>
      </c>
      <c r="BG103">
        <v>0</v>
      </c>
      <c r="BH103">
        <v>100</v>
      </c>
      <c r="BI103">
        <v>0</v>
      </c>
      <c r="BK103">
        <v>16.942875999999998</v>
      </c>
      <c r="BL103">
        <v>16.247876000000002</v>
      </c>
      <c r="BM103">
        <v>0.69499999999999995</v>
      </c>
      <c r="BN103">
        <v>24.553808</v>
      </c>
      <c r="BO103">
        <v>7.2538080000000003</v>
      </c>
      <c r="BP103">
        <v>17.3</v>
      </c>
      <c r="BQ103">
        <v>0.12088635</v>
      </c>
      <c r="BR103">
        <v>0.94918634999999996</v>
      </c>
      <c r="BS103">
        <v>-0.82830000000000004</v>
      </c>
      <c r="BT103">
        <v>5.246405E-3</v>
      </c>
      <c r="BU103">
        <v>2.1616691999999998E-3</v>
      </c>
      <c r="BV103">
        <v>8.3573288999999997E-4</v>
      </c>
      <c r="BW103" s="2">
        <v>9.9083000000000001E-8</v>
      </c>
      <c r="BX103">
        <v>0</v>
      </c>
      <c r="BY103">
        <v>0</v>
      </c>
      <c r="BZ103">
        <v>6</v>
      </c>
      <c r="CA103">
        <v>237.200264</v>
      </c>
      <c r="CB103">
        <v>227.47026399999999</v>
      </c>
      <c r="CC103">
        <v>9.73</v>
      </c>
      <c r="CD103">
        <v>343.75331199999999</v>
      </c>
      <c r="CE103">
        <v>101.55331200000001</v>
      </c>
      <c r="CF103">
        <v>242.2</v>
      </c>
      <c r="CG103">
        <v>7.4905089</v>
      </c>
      <c r="CH103">
        <v>13.2886089</v>
      </c>
      <c r="CI103">
        <v>-5.7980999999999998</v>
      </c>
      <c r="CJ103">
        <v>7.3449669999999995E-2</v>
      </c>
      <c r="CK103">
        <v>3.0263368799999999E-2</v>
      </c>
      <c r="CL103">
        <v>1.170026046E-2</v>
      </c>
      <c r="CM103" s="2">
        <v>1.387162E-6</v>
      </c>
      <c r="CN103">
        <v>18.948382949999999</v>
      </c>
      <c r="CO103">
        <v>161.5338939474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</row>
    <row r="104" spans="1:106" x14ac:dyDescent="0.25">
      <c r="A104">
        <v>25868</v>
      </c>
      <c r="B104" t="s">
        <v>284</v>
      </c>
      <c r="C104">
        <v>50</v>
      </c>
      <c r="D104" t="s">
        <v>261</v>
      </c>
      <c r="E104">
        <v>2</v>
      </c>
      <c r="F104" t="s">
        <v>167</v>
      </c>
      <c r="G104">
        <v>31799.16</v>
      </c>
      <c r="H104" t="s">
        <v>0</v>
      </c>
      <c r="I104">
        <v>4</v>
      </c>
      <c r="J104">
        <v>31799.16</v>
      </c>
      <c r="L104">
        <v>92117.401014000003</v>
      </c>
      <c r="O104">
        <v>796834</v>
      </c>
      <c r="P104" t="s">
        <v>59</v>
      </c>
      <c r="Q104">
        <v>114</v>
      </c>
      <c r="R104" t="s">
        <v>262</v>
      </c>
      <c r="S104" t="s">
        <v>263</v>
      </c>
      <c r="T104">
        <v>0</v>
      </c>
      <c r="V104">
        <v>2142707274</v>
      </c>
      <c r="W104" t="s">
        <v>48</v>
      </c>
      <c r="Y104">
        <v>2.5000000000000001E-2</v>
      </c>
      <c r="AF104" t="s">
        <v>29</v>
      </c>
      <c r="AG104" t="s">
        <v>30</v>
      </c>
      <c r="AH104" s="1">
        <v>1</v>
      </c>
      <c r="AI104">
        <v>2.5000000000000001E-2</v>
      </c>
      <c r="AJ104">
        <v>2000</v>
      </c>
      <c r="AK104">
        <v>50</v>
      </c>
      <c r="AM104">
        <v>50</v>
      </c>
      <c r="AN104">
        <v>0</v>
      </c>
      <c r="AO104">
        <v>0</v>
      </c>
      <c r="AP104" t="s">
        <v>0</v>
      </c>
      <c r="AQ104" t="s">
        <v>264</v>
      </c>
      <c r="AR104">
        <v>30358</v>
      </c>
      <c r="AS104" t="s">
        <v>265</v>
      </c>
      <c r="AT104">
        <v>2</v>
      </c>
      <c r="AU104">
        <v>1</v>
      </c>
      <c r="AV104" t="s">
        <v>266</v>
      </c>
      <c r="AW104">
        <v>0</v>
      </c>
      <c r="AX104">
        <v>50</v>
      </c>
      <c r="AY104">
        <v>50</v>
      </c>
      <c r="AZ104" t="s">
        <v>285</v>
      </c>
      <c r="BC104">
        <v>3</v>
      </c>
      <c r="BE104">
        <v>4</v>
      </c>
      <c r="BG104">
        <v>100</v>
      </c>
      <c r="BH104">
        <v>0</v>
      </c>
      <c r="BI104">
        <v>0</v>
      </c>
      <c r="BK104">
        <v>1.3382216</v>
      </c>
      <c r="BL104">
        <v>1.3382216</v>
      </c>
      <c r="BM104">
        <v>0</v>
      </c>
      <c r="BN104">
        <v>0.12393289</v>
      </c>
      <c r="BO104">
        <v>0.12393289</v>
      </c>
      <c r="BP104">
        <v>0</v>
      </c>
      <c r="BQ104">
        <v>0.15118186</v>
      </c>
      <c r="BR104">
        <v>0.15118186</v>
      </c>
      <c r="BS104">
        <v>0</v>
      </c>
      <c r="BT104">
        <v>3.1549675E-4</v>
      </c>
      <c r="BU104">
        <v>2.0401282E-4</v>
      </c>
      <c r="BV104" s="2">
        <v>4.8205521000000002E-5</v>
      </c>
      <c r="BW104" s="2">
        <v>4.8452447E-9</v>
      </c>
      <c r="BX104">
        <v>0</v>
      </c>
      <c r="BY104">
        <v>0</v>
      </c>
      <c r="BZ104">
        <v>6</v>
      </c>
      <c r="CA104">
        <v>66.911079999999998</v>
      </c>
      <c r="CB104">
        <v>66.911079999999998</v>
      </c>
      <c r="CC104">
        <v>0</v>
      </c>
      <c r="CD104">
        <v>6.1966444999999997</v>
      </c>
      <c r="CE104">
        <v>6.1966444999999997</v>
      </c>
      <c r="CF104">
        <v>0</v>
      </c>
      <c r="CG104">
        <v>7.5590929999999998</v>
      </c>
      <c r="CH104">
        <v>7.5590929999999998</v>
      </c>
      <c r="CI104">
        <v>0</v>
      </c>
      <c r="CJ104">
        <v>1.57748375E-2</v>
      </c>
      <c r="CK104">
        <v>1.0200641E-2</v>
      </c>
      <c r="CL104">
        <v>2.4102760500000001E-3</v>
      </c>
      <c r="CM104" s="2">
        <v>2.4226223500000001E-7</v>
      </c>
      <c r="CN104">
        <v>5.5935298333333003</v>
      </c>
      <c r="CO104">
        <v>161.5338939474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</row>
    <row r="105" spans="1:106" x14ac:dyDescent="0.25">
      <c r="A105">
        <v>25868</v>
      </c>
      <c r="B105" t="s">
        <v>284</v>
      </c>
      <c r="C105">
        <v>50</v>
      </c>
      <c r="D105" t="s">
        <v>261</v>
      </c>
      <c r="E105">
        <v>2</v>
      </c>
      <c r="F105" t="s">
        <v>167</v>
      </c>
      <c r="G105">
        <v>31799.16</v>
      </c>
      <c r="H105" t="s">
        <v>0</v>
      </c>
      <c r="I105">
        <v>4</v>
      </c>
      <c r="J105">
        <v>31799.16</v>
      </c>
      <c r="L105">
        <v>92117.401014000003</v>
      </c>
      <c r="O105">
        <v>796834</v>
      </c>
      <c r="P105" t="s">
        <v>59</v>
      </c>
      <c r="Q105">
        <v>114</v>
      </c>
      <c r="R105" t="s">
        <v>262</v>
      </c>
      <c r="S105" t="s">
        <v>263</v>
      </c>
      <c r="T105">
        <v>0</v>
      </c>
      <c r="V105">
        <v>2142719798</v>
      </c>
      <c r="W105" t="s">
        <v>49</v>
      </c>
      <c r="Y105">
        <v>8.8000000000000005E-3</v>
      </c>
      <c r="AF105" t="s">
        <v>29</v>
      </c>
      <c r="AG105" t="s">
        <v>30</v>
      </c>
      <c r="AH105" s="1">
        <v>1</v>
      </c>
      <c r="AI105">
        <v>8.8000000000000005E-3</v>
      </c>
      <c r="AJ105">
        <v>300</v>
      </c>
      <c r="AK105">
        <v>2.64</v>
      </c>
      <c r="AM105">
        <v>2.64</v>
      </c>
      <c r="AN105">
        <v>0</v>
      </c>
      <c r="AO105">
        <v>0</v>
      </c>
      <c r="AP105" t="s">
        <v>0</v>
      </c>
      <c r="AQ105" t="s">
        <v>264</v>
      </c>
      <c r="AR105">
        <v>30358</v>
      </c>
      <c r="AS105" t="s">
        <v>265</v>
      </c>
      <c r="AT105">
        <v>3</v>
      </c>
      <c r="AU105">
        <v>1</v>
      </c>
      <c r="AV105" t="s">
        <v>266</v>
      </c>
      <c r="AW105">
        <v>1</v>
      </c>
      <c r="AX105">
        <v>25</v>
      </c>
      <c r="AY105">
        <v>25</v>
      </c>
      <c r="AZ105" t="s">
        <v>286</v>
      </c>
      <c r="BC105">
        <v>3</v>
      </c>
      <c r="BE105">
        <v>3</v>
      </c>
      <c r="BG105">
        <v>0</v>
      </c>
      <c r="BH105">
        <v>100</v>
      </c>
      <c r="BI105">
        <v>0</v>
      </c>
      <c r="BK105">
        <v>85.988403000000005</v>
      </c>
      <c r="BL105">
        <v>43.518402999999999</v>
      </c>
      <c r="BM105">
        <v>42.47</v>
      </c>
      <c r="BN105">
        <v>1.3022769000000001</v>
      </c>
      <c r="BO105">
        <v>1.3022769000000001</v>
      </c>
      <c r="BP105">
        <v>0</v>
      </c>
      <c r="BQ105">
        <v>2.8430924000000002</v>
      </c>
      <c r="BR105">
        <v>2.8640924000000001</v>
      </c>
      <c r="BS105">
        <v>-2.1000000000000001E-2</v>
      </c>
      <c r="BT105">
        <v>8.3217996000000006E-3</v>
      </c>
      <c r="BU105">
        <v>1.6064606999999999E-3</v>
      </c>
      <c r="BV105">
        <v>2.4785428000000001E-3</v>
      </c>
      <c r="BW105" s="2">
        <v>3.9116873999999998E-8</v>
      </c>
      <c r="BX105">
        <v>0</v>
      </c>
      <c r="BY105">
        <v>0</v>
      </c>
      <c r="BZ105">
        <v>6</v>
      </c>
      <c r="CA105">
        <v>454.01876784000001</v>
      </c>
      <c r="CB105">
        <v>229.77716784</v>
      </c>
      <c r="CC105">
        <v>224.24160000000001</v>
      </c>
      <c r="CD105">
        <v>6.8760220319999998</v>
      </c>
      <c r="CE105">
        <v>6.8760220319999998</v>
      </c>
      <c r="CF105">
        <v>0</v>
      </c>
      <c r="CG105">
        <v>15.066967871999999</v>
      </c>
      <c r="CH105">
        <v>15.122407872</v>
      </c>
      <c r="CI105">
        <v>-5.5440000000000003E-2</v>
      </c>
      <c r="CJ105">
        <v>4.3939101888000001E-2</v>
      </c>
      <c r="CK105">
        <v>8.4821124959999997E-3</v>
      </c>
      <c r="CL105">
        <v>1.3086705984E-2</v>
      </c>
      <c r="CM105" s="2">
        <v>2.0653709471999999E-7</v>
      </c>
      <c r="CN105">
        <v>23.503667158399999</v>
      </c>
      <c r="CO105">
        <v>161.5338939474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</row>
    <row r="106" spans="1:106" x14ac:dyDescent="0.25">
      <c r="A106">
        <v>25868</v>
      </c>
      <c r="B106" t="s">
        <v>284</v>
      </c>
      <c r="C106">
        <v>50</v>
      </c>
      <c r="D106" t="s">
        <v>261</v>
      </c>
      <c r="E106">
        <v>2</v>
      </c>
      <c r="F106" t="s">
        <v>167</v>
      </c>
      <c r="G106">
        <v>31799.16</v>
      </c>
      <c r="H106" t="s">
        <v>0</v>
      </c>
      <c r="I106">
        <v>4</v>
      </c>
      <c r="J106">
        <v>31799.16</v>
      </c>
      <c r="L106">
        <v>92117.401014000003</v>
      </c>
      <c r="O106">
        <v>796834</v>
      </c>
      <c r="P106" t="s">
        <v>59</v>
      </c>
      <c r="Q106">
        <v>114</v>
      </c>
      <c r="R106" t="s">
        <v>262</v>
      </c>
      <c r="S106" t="s">
        <v>263</v>
      </c>
      <c r="T106">
        <v>0</v>
      </c>
      <c r="W106" t="s">
        <v>61</v>
      </c>
      <c r="X106" t="s">
        <v>294</v>
      </c>
      <c r="Y106">
        <v>0.03</v>
      </c>
      <c r="AF106" t="s">
        <v>29</v>
      </c>
      <c r="AG106" t="s">
        <v>30</v>
      </c>
      <c r="AH106" s="1">
        <v>1</v>
      </c>
      <c r="AI106">
        <v>0.03</v>
      </c>
      <c r="AJ106">
        <v>500</v>
      </c>
      <c r="AK106">
        <v>15</v>
      </c>
      <c r="AM106">
        <v>15</v>
      </c>
      <c r="AN106">
        <v>0</v>
      </c>
      <c r="AO106">
        <v>0</v>
      </c>
      <c r="AP106" t="s">
        <v>0</v>
      </c>
      <c r="AQ106" t="s">
        <v>264</v>
      </c>
      <c r="AR106">
        <v>30358</v>
      </c>
      <c r="AS106" t="s">
        <v>265</v>
      </c>
      <c r="AT106">
        <v>4</v>
      </c>
      <c r="AU106">
        <v>1</v>
      </c>
      <c r="AV106" t="s">
        <v>266</v>
      </c>
      <c r="AW106">
        <v>1</v>
      </c>
      <c r="AX106">
        <v>35</v>
      </c>
      <c r="AY106">
        <v>35</v>
      </c>
      <c r="AZ106" t="s">
        <v>289</v>
      </c>
      <c r="BC106">
        <v>3</v>
      </c>
      <c r="BE106">
        <v>3</v>
      </c>
      <c r="BG106">
        <v>0</v>
      </c>
      <c r="BH106">
        <v>100</v>
      </c>
      <c r="BI106">
        <v>0</v>
      </c>
      <c r="BK106">
        <v>14.248305</v>
      </c>
      <c r="BL106">
        <v>14.248305</v>
      </c>
      <c r="BM106">
        <v>0</v>
      </c>
      <c r="BN106">
        <v>38.211621999999998</v>
      </c>
      <c r="BO106">
        <v>24.444621999999999</v>
      </c>
      <c r="BP106">
        <v>13.766999999999999</v>
      </c>
      <c r="BQ106">
        <v>-0.95084049000000004</v>
      </c>
      <c r="BR106">
        <v>0.84515951</v>
      </c>
      <c r="BS106">
        <v>-1.796</v>
      </c>
      <c r="BT106">
        <v>5.8931249999999999E-3</v>
      </c>
      <c r="BU106">
        <v>2.4360761000000002E-3</v>
      </c>
      <c r="BV106">
        <v>6.2504502999999995E-4</v>
      </c>
      <c r="BW106" s="2">
        <v>7.9133968000000002E-8</v>
      </c>
      <c r="BX106">
        <v>0</v>
      </c>
      <c r="BY106">
        <v>0</v>
      </c>
      <c r="BZ106">
        <v>6</v>
      </c>
      <c r="CA106">
        <v>427.44914999999997</v>
      </c>
      <c r="CB106">
        <v>427.44914999999997</v>
      </c>
      <c r="CC106">
        <v>0</v>
      </c>
      <c r="CD106">
        <v>1146.3486600000001</v>
      </c>
      <c r="CE106">
        <v>733.33866</v>
      </c>
      <c r="CF106">
        <v>413.01</v>
      </c>
      <c r="CG106">
        <v>-1.5852147000000001</v>
      </c>
      <c r="CH106">
        <v>25.3547853</v>
      </c>
      <c r="CI106">
        <v>-26.94</v>
      </c>
      <c r="CJ106">
        <v>0.17679375</v>
      </c>
      <c r="CK106">
        <v>7.3082282999999998E-2</v>
      </c>
      <c r="CL106">
        <v>1.8751350900000002E-2</v>
      </c>
      <c r="CM106" s="2">
        <v>2.3740190400000001E-6</v>
      </c>
      <c r="CN106">
        <v>37.556602550000001</v>
      </c>
      <c r="CO106">
        <v>161.5338939474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</row>
    <row r="107" spans="1:106" x14ac:dyDescent="0.25">
      <c r="A107">
        <v>25868</v>
      </c>
      <c r="B107" t="s">
        <v>284</v>
      </c>
      <c r="C107">
        <v>50</v>
      </c>
      <c r="D107" t="s">
        <v>261</v>
      </c>
      <c r="E107">
        <v>2</v>
      </c>
      <c r="F107" t="s">
        <v>167</v>
      </c>
      <c r="G107">
        <v>31799.16</v>
      </c>
      <c r="H107" t="s">
        <v>0</v>
      </c>
      <c r="I107">
        <v>4</v>
      </c>
      <c r="J107">
        <v>31799.16</v>
      </c>
      <c r="L107">
        <v>92117.401014000003</v>
      </c>
      <c r="O107">
        <v>796834</v>
      </c>
      <c r="P107" t="s">
        <v>59</v>
      </c>
      <c r="Q107">
        <v>114</v>
      </c>
      <c r="R107" t="s">
        <v>262</v>
      </c>
      <c r="S107" t="s">
        <v>263</v>
      </c>
      <c r="T107">
        <v>0</v>
      </c>
      <c r="V107">
        <v>2142732108</v>
      </c>
      <c r="W107" t="s">
        <v>62</v>
      </c>
      <c r="Y107">
        <v>2.5000000000000001E-2</v>
      </c>
      <c r="AF107" t="s">
        <v>29</v>
      </c>
      <c r="AG107" t="s">
        <v>30</v>
      </c>
      <c r="AH107" s="1">
        <v>1</v>
      </c>
      <c r="AI107">
        <v>2.5000000000000001E-2</v>
      </c>
      <c r="AJ107">
        <v>388</v>
      </c>
      <c r="AK107">
        <v>9.6999999999999993</v>
      </c>
      <c r="AM107">
        <v>9.6999999999999993</v>
      </c>
      <c r="AN107">
        <v>0</v>
      </c>
      <c r="AO107">
        <v>0</v>
      </c>
      <c r="AP107" t="s">
        <v>0</v>
      </c>
      <c r="AQ107" t="s">
        <v>264</v>
      </c>
      <c r="AR107">
        <v>30358</v>
      </c>
      <c r="AS107" t="s">
        <v>265</v>
      </c>
      <c r="AT107">
        <v>5</v>
      </c>
      <c r="AU107">
        <v>1</v>
      </c>
      <c r="AV107" t="s">
        <v>266</v>
      </c>
      <c r="AW107">
        <v>0</v>
      </c>
      <c r="AX107">
        <v>50</v>
      </c>
      <c r="AY107">
        <v>50</v>
      </c>
      <c r="AZ107" t="s">
        <v>285</v>
      </c>
      <c r="BC107">
        <v>3</v>
      </c>
      <c r="BE107">
        <v>4</v>
      </c>
      <c r="BG107">
        <v>50</v>
      </c>
      <c r="BH107">
        <v>50</v>
      </c>
      <c r="BI107">
        <v>0</v>
      </c>
      <c r="BK107">
        <v>4.0335089000000002</v>
      </c>
      <c r="BL107">
        <v>4.0335089000000002</v>
      </c>
      <c r="BM107">
        <v>0</v>
      </c>
      <c r="BN107">
        <v>5.3701355</v>
      </c>
      <c r="BO107">
        <v>0.10465883333333</v>
      </c>
      <c r="BP107">
        <v>5.2654766666667001</v>
      </c>
      <c r="BQ107">
        <v>-0.14579291999999999</v>
      </c>
      <c r="BR107">
        <v>0.40520708</v>
      </c>
      <c r="BS107">
        <v>-0.55100000000000005</v>
      </c>
      <c r="BT107">
        <v>8.2581794999999996E-4</v>
      </c>
      <c r="BU107">
        <v>4.8505788000000001E-4</v>
      </c>
      <c r="BV107">
        <v>1.3693500999999999E-4</v>
      </c>
      <c r="BW107" s="2">
        <v>1.2628597999999999E-8</v>
      </c>
      <c r="BX107">
        <v>1</v>
      </c>
      <c r="BY107">
        <v>0</v>
      </c>
      <c r="BZ107">
        <v>6</v>
      </c>
      <c r="CA107">
        <v>39.12503633</v>
      </c>
      <c r="CB107">
        <v>39.12503633</v>
      </c>
      <c r="CC107">
        <v>0</v>
      </c>
      <c r="CD107">
        <v>52.09031435</v>
      </c>
      <c r="CE107">
        <v>1.0151906833333</v>
      </c>
      <c r="CF107">
        <v>51.075123666666997</v>
      </c>
      <c r="CG107">
        <v>-1.4141913239999999</v>
      </c>
      <c r="CH107">
        <v>3.9305086760000001</v>
      </c>
      <c r="CI107">
        <v>-5.3446999999999996</v>
      </c>
      <c r="CJ107">
        <v>8.0104341149999994E-3</v>
      </c>
      <c r="CK107">
        <v>4.705061436E-3</v>
      </c>
      <c r="CL107">
        <v>1.328269597E-3</v>
      </c>
      <c r="CM107" s="2">
        <v>1.2249740060000001E-7</v>
      </c>
      <c r="CN107">
        <v>2.1365272056667002</v>
      </c>
      <c r="CO107">
        <v>161.5338939474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</row>
    <row r="108" spans="1:106" x14ac:dyDescent="0.25">
      <c r="A108">
        <v>25868</v>
      </c>
      <c r="B108" t="s">
        <v>284</v>
      </c>
      <c r="C108">
        <v>50</v>
      </c>
      <c r="D108" t="s">
        <v>261</v>
      </c>
      <c r="E108">
        <v>2</v>
      </c>
      <c r="F108" t="s">
        <v>167</v>
      </c>
      <c r="G108">
        <v>31799.16</v>
      </c>
      <c r="H108" t="s">
        <v>0</v>
      </c>
      <c r="I108">
        <v>4</v>
      </c>
      <c r="J108">
        <v>31799.16</v>
      </c>
      <c r="L108">
        <v>92117.401014000003</v>
      </c>
      <c r="O108">
        <v>796834</v>
      </c>
      <c r="P108" t="s">
        <v>59</v>
      </c>
      <c r="Q108">
        <v>114</v>
      </c>
      <c r="R108" t="s">
        <v>262</v>
      </c>
      <c r="S108" t="s">
        <v>263</v>
      </c>
      <c r="T108">
        <v>0</v>
      </c>
      <c r="V108">
        <v>2142723421</v>
      </c>
      <c r="W108" t="s">
        <v>63</v>
      </c>
      <c r="Y108">
        <v>0.03</v>
      </c>
      <c r="AF108" t="s">
        <v>29</v>
      </c>
      <c r="AG108" t="s">
        <v>30</v>
      </c>
      <c r="AH108" s="1">
        <v>1</v>
      </c>
      <c r="AI108">
        <v>0.03</v>
      </c>
      <c r="AJ108">
        <v>150</v>
      </c>
      <c r="AK108">
        <v>4.5</v>
      </c>
      <c r="AM108">
        <v>4.5</v>
      </c>
      <c r="AN108">
        <v>0</v>
      </c>
      <c r="AO108">
        <v>0</v>
      </c>
      <c r="AP108" t="s">
        <v>0</v>
      </c>
      <c r="AQ108" t="s">
        <v>264</v>
      </c>
      <c r="AR108">
        <v>30358</v>
      </c>
      <c r="AS108" t="s">
        <v>265</v>
      </c>
      <c r="AT108">
        <v>6</v>
      </c>
      <c r="AU108">
        <v>1</v>
      </c>
      <c r="AV108" t="s">
        <v>266</v>
      </c>
      <c r="AW108">
        <v>0</v>
      </c>
      <c r="AX108">
        <v>50</v>
      </c>
      <c r="AY108">
        <v>50</v>
      </c>
      <c r="AZ108" t="s">
        <v>285</v>
      </c>
      <c r="BC108">
        <v>4</v>
      </c>
      <c r="BE108">
        <v>3</v>
      </c>
      <c r="BG108">
        <v>100</v>
      </c>
      <c r="BH108">
        <v>0</v>
      </c>
      <c r="BI108">
        <v>0</v>
      </c>
      <c r="BK108">
        <v>21.343074999999999</v>
      </c>
      <c r="BL108">
        <v>21.343074999999999</v>
      </c>
      <c r="BM108">
        <v>0</v>
      </c>
      <c r="BN108">
        <v>0.78469758000000001</v>
      </c>
      <c r="BO108">
        <v>0.78469758000000001</v>
      </c>
      <c r="BP108">
        <v>0</v>
      </c>
      <c r="BQ108">
        <v>1.7409311000000001</v>
      </c>
      <c r="BR108">
        <v>1.7409311000000001</v>
      </c>
      <c r="BS108">
        <v>0</v>
      </c>
      <c r="BT108">
        <v>1.1809325000000001E-2</v>
      </c>
      <c r="BU108">
        <v>3.1100953999999999E-3</v>
      </c>
      <c r="BV108">
        <v>5.0632319000000004E-3</v>
      </c>
      <c r="BW108" s="2">
        <v>7.0109999999999997E-8</v>
      </c>
      <c r="BX108">
        <v>1</v>
      </c>
      <c r="BY108">
        <v>0</v>
      </c>
      <c r="BZ108">
        <v>6</v>
      </c>
      <c r="CA108">
        <v>96.043837499999995</v>
      </c>
      <c r="CB108">
        <v>96.043837499999995</v>
      </c>
      <c r="CC108">
        <v>0</v>
      </c>
      <c r="CD108">
        <v>3.5311391099999998</v>
      </c>
      <c r="CE108">
        <v>3.5311391099999998</v>
      </c>
      <c r="CF108">
        <v>0</v>
      </c>
      <c r="CG108">
        <v>7.8341899499999998</v>
      </c>
      <c r="CH108">
        <v>7.8341899499999998</v>
      </c>
      <c r="CI108">
        <v>0</v>
      </c>
      <c r="CJ108">
        <v>5.3141962500000001E-2</v>
      </c>
      <c r="CK108">
        <v>1.3995429300000001E-2</v>
      </c>
      <c r="CL108">
        <v>2.2784543550000001E-2</v>
      </c>
      <c r="CM108" s="2">
        <v>3.1549500000000001E-7</v>
      </c>
      <c r="CN108">
        <v>11.592754575000001</v>
      </c>
      <c r="CO108">
        <v>161.5338939474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</row>
    <row r="109" spans="1:106" x14ac:dyDescent="0.25">
      <c r="A109">
        <v>25868</v>
      </c>
      <c r="B109" t="s">
        <v>284</v>
      </c>
      <c r="C109">
        <v>50</v>
      </c>
      <c r="D109" t="s">
        <v>261</v>
      </c>
      <c r="E109">
        <v>2</v>
      </c>
      <c r="F109" t="s">
        <v>167</v>
      </c>
      <c r="G109">
        <v>31799.16</v>
      </c>
      <c r="H109" t="s">
        <v>0</v>
      </c>
      <c r="I109">
        <v>4</v>
      </c>
      <c r="J109">
        <v>31799.16</v>
      </c>
      <c r="L109">
        <v>92117.401014000003</v>
      </c>
      <c r="O109">
        <v>796834</v>
      </c>
      <c r="P109" t="s">
        <v>59</v>
      </c>
      <c r="Q109">
        <v>114</v>
      </c>
      <c r="R109" t="s">
        <v>262</v>
      </c>
      <c r="S109" t="s">
        <v>263</v>
      </c>
      <c r="T109">
        <v>0</v>
      </c>
      <c r="V109">
        <v>2142686781</v>
      </c>
      <c r="W109" t="s">
        <v>24</v>
      </c>
      <c r="Y109">
        <v>2.9999999999999997E-4</v>
      </c>
      <c r="AF109" t="s">
        <v>29</v>
      </c>
      <c r="AG109" t="s">
        <v>30</v>
      </c>
      <c r="AH109" s="1">
        <v>1</v>
      </c>
      <c r="AI109">
        <v>2.9999999999999997E-4</v>
      </c>
      <c r="AJ109">
        <v>300</v>
      </c>
      <c r="AK109">
        <v>0.09</v>
      </c>
      <c r="AM109">
        <v>0.09</v>
      </c>
      <c r="AN109">
        <v>0</v>
      </c>
      <c r="AO109">
        <v>0</v>
      </c>
      <c r="AP109" t="s">
        <v>0</v>
      </c>
      <c r="AQ109" t="s">
        <v>264</v>
      </c>
      <c r="AR109">
        <v>30358</v>
      </c>
      <c r="AS109" t="s">
        <v>265</v>
      </c>
      <c r="AT109">
        <v>7</v>
      </c>
      <c r="AU109">
        <v>1</v>
      </c>
      <c r="AV109" t="s">
        <v>266</v>
      </c>
      <c r="AW109">
        <v>1</v>
      </c>
      <c r="AX109">
        <v>25</v>
      </c>
      <c r="AY109">
        <v>25</v>
      </c>
      <c r="AZ109" t="s">
        <v>286</v>
      </c>
      <c r="BC109">
        <v>3</v>
      </c>
      <c r="BE109">
        <v>3</v>
      </c>
      <c r="BG109">
        <v>0</v>
      </c>
      <c r="BH109">
        <v>100</v>
      </c>
      <c r="BI109">
        <v>0</v>
      </c>
      <c r="BK109">
        <v>85.988403000000005</v>
      </c>
      <c r="BL109">
        <v>43.518402999999999</v>
      </c>
      <c r="BM109">
        <v>42.47</v>
      </c>
      <c r="BN109">
        <v>1.3022769000000001</v>
      </c>
      <c r="BO109">
        <v>1.3022769000000001</v>
      </c>
      <c r="BP109">
        <v>0</v>
      </c>
      <c r="BQ109">
        <v>2.8430924000000002</v>
      </c>
      <c r="BR109">
        <v>2.8640924000000001</v>
      </c>
      <c r="BS109">
        <v>-2.1000000000000001E-2</v>
      </c>
      <c r="BT109">
        <v>8.3217996000000006E-3</v>
      </c>
      <c r="BU109">
        <v>1.6064606999999999E-3</v>
      </c>
      <c r="BV109">
        <v>2.4785428000000001E-3</v>
      </c>
      <c r="BW109" s="2">
        <v>3.9116873999999998E-8</v>
      </c>
      <c r="BX109">
        <v>0</v>
      </c>
      <c r="BY109">
        <v>0</v>
      </c>
      <c r="BZ109">
        <v>6</v>
      </c>
      <c r="CA109">
        <v>15.47791254</v>
      </c>
      <c r="CB109">
        <v>7.8333125399999997</v>
      </c>
      <c r="CC109">
        <v>7.6445999999999996</v>
      </c>
      <c r="CD109">
        <v>0.23440984200000001</v>
      </c>
      <c r="CE109">
        <v>0.23440984200000001</v>
      </c>
      <c r="CF109">
        <v>0</v>
      </c>
      <c r="CG109">
        <v>0.51364663200000005</v>
      </c>
      <c r="CH109">
        <v>0.51553663199999999</v>
      </c>
      <c r="CI109">
        <v>-1.89E-3</v>
      </c>
      <c r="CJ109">
        <v>1.4979239279999999E-3</v>
      </c>
      <c r="CK109">
        <v>2.8916292600000002E-4</v>
      </c>
      <c r="CL109">
        <v>4.4613770399999999E-4</v>
      </c>
      <c r="CM109" s="2">
        <v>7.04103732E-9</v>
      </c>
      <c r="CN109">
        <v>0.80126138039999995</v>
      </c>
      <c r="CO109">
        <v>161.5338939474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</row>
    <row r="110" spans="1:106" x14ac:dyDescent="0.25">
      <c r="A110">
        <v>25868</v>
      </c>
      <c r="B110" t="s">
        <v>284</v>
      </c>
      <c r="C110">
        <v>50</v>
      </c>
      <c r="D110" t="s">
        <v>261</v>
      </c>
      <c r="E110">
        <v>2</v>
      </c>
      <c r="F110" t="s">
        <v>167</v>
      </c>
      <c r="G110">
        <v>31799.16</v>
      </c>
      <c r="H110" t="s">
        <v>0</v>
      </c>
      <c r="I110">
        <v>4</v>
      </c>
      <c r="J110">
        <v>31799.16</v>
      </c>
      <c r="L110">
        <v>92117.401014000003</v>
      </c>
      <c r="O110">
        <v>796834</v>
      </c>
      <c r="P110" t="s">
        <v>59</v>
      </c>
      <c r="Q110">
        <v>114</v>
      </c>
      <c r="R110" t="s">
        <v>262</v>
      </c>
      <c r="S110" t="s">
        <v>263</v>
      </c>
      <c r="T110">
        <v>0</v>
      </c>
      <c r="V110">
        <v>2142730429</v>
      </c>
      <c r="W110" t="s">
        <v>64</v>
      </c>
      <c r="Y110">
        <v>0.03</v>
      </c>
      <c r="AF110" t="s">
        <v>29</v>
      </c>
      <c r="AG110" t="s">
        <v>30</v>
      </c>
      <c r="AH110" s="1">
        <v>1</v>
      </c>
      <c r="AI110">
        <v>0.03</v>
      </c>
      <c r="AJ110">
        <v>550</v>
      </c>
      <c r="AK110">
        <v>16.5</v>
      </c>
      <c r="AM110">
        <v>16.5</v>
      </c>
      <c r="AN110">
        <v>0</v>
      </c>
      <c r="AO110">
        <v>0</v>
      </c>
      <c r="AP110" t="s">
        <v>0</v>
      </c>
      <c r="AQ110" t="s">
        <v>264</v>
      </c>
      <c r="AR110">
        <v>30358</v>
      </c>
      <c r="AS110" t="s">
        <v>265</v>
      </c>
      <c r="AT110">
        <v>8</v>
      </c>
      <c r="AU110">
        <v>1</v>
      </c>
      <c r="AV110" t="s">
        <v>266</v>
      </c>
      <c r="AW110">
        <v>0</v>
      </c>
      <c r="AX110">
        <v>50</v>
      </c>
      <c r="AY110">
        <v>50</v>
      </c>
      <c r="AZ110" t="s">
        <v>285</v>
      </c>
      <c r="BC110">
        <v>1</v>
      </c>
      <c r="BE110">
        <v>1</v>
      </c>
      <c r="BG110">
        <v>0</v>
      </c>
      <c r="BH110">
        <v>100</v>
      </c>
      <c r="BI110">
        <v>0</v>
      </c>
      <c r="BK110">
        <v>12.543737999999999</v>
      </c>
      <c r="BL110">
        <v>10.984851000000001</v>
      </c>
      <c r="BM110">
        <v>1.5588869999999999</v>
      </c>
      <c r="BN110">
        <v>24.295808000000001</v>
      </c>
      <c r="BO110">
        <v>9.5563579999999995</v>
      </c>
      <c r="BP110">
        <v>14.73945</v>
      </c>
      <c r="BQ110">
        <v>-0.17717271000000001</v>
      </c>
      <c r="BR110">
        <v>0.63847728999999998</v>
      </c>
      <c r="BS110">
        <v>-0.81564999999999999</v>
      </c>
      <c r="BT110">
        <v>3.4540817000000001E-3</v>
      </c>
      <c r="BU110">
        <v>1.5520241E-3</v>
      </c>
      <c r="BV110">
        <v>7.0268957000000005E-4</v>
      </c>
      <c r="BW110" s="2">
        <v>6.9693000000000001E-8</v>
      </c>
      <c r="BX110">
        <v>1</v>
      </c>
      <c r="BY110">
        <v>0</v>
      </c>
      <c r="BZ110">
        <v>6</v>
      </c>
      <c r="CA110">
        <v>206.971677</v>
      </c>
      <c r="CB110">
        <v>181.25004150000001</v>
      </c>
      <c r="CC110">
        <v>25.721635500000001</v>
      </c>
      <c r="CD110">
        <v>400.880832</v>
      </c>
      <c r="CE110">
        <v>157.67990699999999</v>
      </c>
      <c r="CF110">
        <v>243.20092500000001</v>
      </c>
      <c r="CG110">
        <v>-2.9233497150000001</v>
      </c>
      <c r="CH110">
        <v>10.534875285</v>
      </c>
      <c r="CI110">
        <v>-13.458225000000001</v>
      </c>
      <c r="CJ110">
        <v>5.6992348050000002E-2</v>
      </c>
      <c r="CK110">
        <v>2.560839765E-2</v>
      </c>
      <c r="CL110">
        <v>1.1594377905E-2</v>
      </c>
      <c r="CM110" s="2">
        <v>1.1499345E-6</v>
      </c>
      <c r="CN110">
        <v>14.010810687499999</v>
      </c>
      <c r="CO110">
        <v>161.5338939474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</row>
    <row r="111" spans="1:106" x14ac:dyDescent="0.25">
      <c r="A111">
        <v>25868</v>
      </c>
      <c r="B111" t="s">
        <v>284</v>
      </c>
      <c r="C111">
        <v>50</v>
      </c>
      <c r="D111" t="s">
        <v>261</v>
      </c>
      <c r="E111">
        <v>2</v>
      </c>
      <c r="F111" t="s">
        <v>167</v>
      </c>
      <c r="G111">
        <v>31799.16</v>
      </c>
      <c r="H111" t="s">
        <v>0</v>
      </c>
      <c r="I111">
        <v>4</v>
      </c>
      <c r="J111">
        <v>31799.16</v>
      </c>
      <c r="L111">
        <v>92117.401014000003</v>
      </c>
      <c r="O111">
        <v>796834</v>
      </c>
      <c r="P111" t="s">
        <v>59</v>
      </c>
      <c r="Q111">
        <v>114</v>
      </c>
      <c r="R111" t="s">
        <v>262</v>
      </c>
      <c r="S111" t="s">
        <v>263</v>
      </c>
      <c r="T111">
        <v>0</v>
      </c>
      <c r="V111">
        <v>2142730429</v>
      </c>
      <c r="W111" t="s">
        <v>64</v>
      </c>
      <c r="Y111">
        <v>5.7000000000000002E-2</v>
      </c>
      <c r="AF111" t="s">
        <v>29</v>
      </c>
      <c r="AG111" t="s">
        <v>30</v>
      </c>
      <c r="AH111" s="1">
        <v>0.8</v>
      </c>
      <c r="AI111">
        <v>4.5600000000000002E-2</v>
      </c>
      <c r="AJ111">
        <v>550</v>
      </c>
      <c r="AK111">
        <v>25.08</v>
      </c>
      <c r="AM111">
        <v>25.08</v>
      </c>
      <c r="AN111">
        <v>0</v>
      </c>
      <c r="AO111">
        <v>0</v>
      </c>
      <c r="AP111" t="s">
        <v>0</v>
      </c>
      <c r="AQ111" t="s">
        <v>264</v>
      </c>
      <c r="AR111">
        <v>30358</v>
      </c>
      <c r="AS111" t="s">
        <v>265</v>
      </c>
      <c r="AT111">
        <v>9</v>
      </c>
      <c r="AU111">
        <v>1</v>
      </c>
      <c r="AV111" t="s">
        <v>266</v>
      </c>
      <c r="AW111">
        <v>0</v>
      </c>
      <c r="AX111">
        <v>50</v>
      </c>
      <c r="AY111">
        <v>50</v>
      </c>
      <c r="AZ111" t="s">
        <v>285</v>
      </c>
      <c r="BC111">
        <v>1</v>
      </c>
      <c r="BE111">
        <v>1</v>
      </c>
      <c r="BG111">
        <v>0</v>
      </c>
      <c r="BH111">
        <v>100</v>
      </c>
      <c r="BI111">
        <v>0</v>
      </c>
      <c r="BK111">
        <v>12.543737999999999</v>
      </c>
      <c r="BL111">
        <v>10.984851000000001</v>
      </c>
      <c r="BM111">
        <v>1.5588869999999999</v>
      </c>
      <c r="BN111">
        <v>24.295808000000001</v>
      </c>
      <c r="BO111">
        <v>9.5563579999999995</v>
      </c>
      <c r="BP111">
        <v>14.73945</v>
      </c>
      <c r="BQ111">
        <v>-0.17717271000000001</v>
      </c>
      <c r="BR111">
        <v>0.63847728999999998</v>
      </c>
      <c r="BS111">
        <v>-0.81564999999999999</v>
      </c>
      <c r="BT111">
        <v>3.4540817000000001E-3</v>
      </c>
      <c r="BU111">
        <v>1.5520241E-3</v>
      </c>
      <c r="BV111">
        <v>7.0268957000000005E-4</v>
      </c>
      <c r="BW111" s="2">
        <v>6.9693000000000001E-8</v>
      </c>
      <c r="BX111">
        <v>0</v>
      </c>
      <c r="BY111">
        <v>0</v>
      </c>
      <c r="BZ111">
        <v>6</v>
      </c>
      <c r="CA111">
        <v>314.59694904000003</v>
      </c>
      <c r="CB111">
        <v>275.50006308000002</v>
      </c>
      <c r="CC111">
        <v>39.096885960000002</v>
      </c>
      <c r="CD111">
        <v>609.33886464</v>
      </c>
      <c r="CE111">
        <v>239.67345864000001</v>
      </c>
      <c r="CF111">
        <v>369.66540600000002</v>
      </c>
      <c r="CG111">
        <v>-4.4434915667999997</v>
      </c>
      <c r="CH111">
        <v>16.013010433200002</v>
      </c>
      <c r="CI111">
        <v>-20.456502</v>
      </c>
      <c r="CJ111">
        <v>8.6628369036000005E-2</v>
      </c>
      <c r="CK111">
        <v>3.8924764427999997E-2</v>
      </c>
      <c r="CL111">
        <v>1.7623454415599999E-2</v>
      </c>
      <c r="CM111" s="2">
        <v>1.7479004399999999E-6</v>
      </c>
      <c r="CN111">
        <v>21.296432244999998</v>
      </c>
      <c r="CO111">
        <v>161.5338939474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</row>
    <row r="112" spans="1:106" x14ac:dyDescent="0.25">
      <c r="A112">
        <v>25868</v>
      </c>
      <c r="B112" t="s">
        <v>284</v>
      </c>
      <c r="C112">
        <v>50</v>
      </c>
      <c r="D112" t="s">
        <v>261</v>
      </c>
      <c r="E112">
        <v>2</v>
      </c>
      <c r="F112" t="s">
        <v>167</v>
      </c>
      <c r="G112">
        <v>31799.16</v>
      </c>
      <c r="H112" t="s">
        <v>0</v>
      </c>
      <c r="I112">
        <v>4</v>
      </c>
      <c r="J112">
        <v>31799.16</v>
      </c>
      <c r="L112">
        <v>92117.401014000003</v>
      </c>
      <c r="O112">
        <v>796834</v>
      </c>
      <c r="P112" t="s">
        <v>59</v>
      </c>
      <c r="Q112">
        <v>114</v>
      </c>
      <c r="R112" t="s">
        <v>262</v>
      </c>
      <c r="S112" t="s">
        <v>263</v>
      </c>
      <c r="T112">
        <v>0</v>
      </c>
      <c r="W112" t="s">
        <v>65</v>
      </c>
      <c r="Y112">
        <v>5.7000000000000002E-2</v>
      </c>
      <c r="AF112" t="s">
        <v>29</v>
      </c>
      <c r="AG112" t="s">
        <v>30</v>
      </c>
      <c r="AH112" s="1">
        <v>0.2</v>
      </c>
      <c r="AI112">
        <v>1.14E-2</v>
      </c>
      <c r="AJ112">
        <v>1500</v>
      </c>
      <c r="AK112">
        <v>17.100000000000001</v>
      </c>
      <c r="AM112">
        <v>17.100000000000001</v>
      </c>
      <c r="AN112">
        <v>0</v>
      </c>
      <c r="AO112">
        <v>0</v>
      </c>
      <c r="AP112" t="s">
        <v>0</v>
      </c>
      <c r="AQ112" t="s">
        <v>264</v>
      </c>
      <c r="AR112">
        <v>30358</v>
      </c>
      <c r="AS112" t="s">
        <v>265</v>
      </c>
      <c r="AT112">
        <v>9</v>
      </c>
      <c r="AU112">
        <v>2</v>
      </c>
      <c r="AV112" t="s">
        <v>266</v>
      </c>
      <c r="AW112">
        <v>0</v>
      </c>
      <c r="AX112">
        <v>100</v>
      </c>
      <c r="AY112">
        <v>100</v>
      </c>
      <c r="AZ112" t="s">
        <v>267</v>
      </c>
      <c r="BC112">
        <v>2</v>
      </c>
      <c r="BE112">
        <v>3</v>
      </c>
      <c r="BG112">
        <v>100</v>
      </c>
      <c r="BH112">
        <v>0</v>
      </c>
      <c r="BI112">
        <v>0</v>
      </c>
      <c r="BK112">
        <v>2.7139807999999999</v>
      </c>
      <c r="BL112">
        <v>2.7139807999999999</v>
      </c>
      <c r="BM112">
        <v>0</v>
      </c>
      <c r="BN112">
        <v>0.54105435000000002</v>
      </c>
      <c r="BO112">
        <v>0.54105435000000002</v>
      </c>
      <c r="BP112">
        <v>0</v>
      </c>
      <c r="BQ112">
        <v>0.34419855999999999</v>
      </c>
      <c r="BR112">
        <v>0.34419855999999999</v>
      </c>
      <c r="BS112">
        <v>0</v>
      </c>
      <c r="BT112">
        <v>7.9290581999999997E-4</v>
      </c>
      <c r="BU112">
        <v>3.4724952999999999E-4</v>
      </c>
      <c r="BV112">
        <v>1.2757719E-4</v>
      </c>
      <c r="BW112" s="2">
        <v>1.3156763999999999E-8</v>
      </c>
      <c r="BX112">
        <v>0</v>
      </c>
      <c r="BY112">
        <v>0</v>
      </c>
      <c r="BZ112">
        <v>6</v>
      </c>
      <c r="CA112">
        <v>46.409071679999997</v>
      </c>
      <c r="CB112">
        <v>46.409071679999997</v>
      </c>
      <c r="CC112">
        <v>0</v>
      </c>
      <c r="CD112">
        <v>9.2520293850000002</v>
      </c>
      <c r="CE112">
        <v>9.2520293850000002</v>
      </c>
      <c r="CF112">
        <v>0</v>
      </c>
      <c r="CG112">
        <v>5.8857953759999999</v>
      </c>
      <c r="CH112">
        <v>5.8857953759999999</v>
      </c>
      <c r="CI112">
        <v>0</v>
      </c>
      <c r="CJ112">
        <v>1.3558689521999999E-2</v>
      </c>
      <c r="CK112">
        <v>5.9379669630000003E-3</v>
      </c>
      <c r="CL112">
        <v>2.1815699490000001E-3</v>
      </c>
      <c r="CM112" s="2">
        <v>2.249806644E-7</v>
      </c>
      <c r="CN112">
        <v>4.3357602216000002</v>
      </c>
      <c r="CO112">
        <v>161.5338939474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</row>
    <row r="113" spans="1:106" x14ac:dyDescent="0.25">
      <c r="A113">
        <v>25868</v>
      </c>
      <c r="B113" t="s">
        <v>284</v>
      </c>
      <c r="C113">
        <v>50</v>
      </c>
      <c r="D113" t="s">
        <v>261</v>
      </c>
      <c r="E113">
        <v>2</v>
      </c>
      <c r="F113" t="s">
        <v>167</v>
      </c>
      <c r="G113">
        <v>31799.16</v>
      </c>
      <c r="H113" t="s">
        <v>0</v>
      </c>
      <c r="I113">
        <v>4</v>
      </c>
      <c r="J113">
        <v>31799.16</v>
      </c>
      <c r="L113">
        <v>92117.401014000003</v>
      </c>
      <c r="O113">
        <v>796834</v>
      </c>
      <c r="P113" t="s">
        <v>59</v>
      </c>
      <c r="Q113">
        <v>114</v>
      </c>
      <c r="R113" t="s">
        <v>262</v>
      </c>
      <c r="S113" t="s">
        <v>263</v>
      </c>
      <c r="T113">
        <v>0</v>
      </c>
      <c r="V113">
        <v>2142730429</v>
      </c>
      <c r="W113" t="s">
        <v>64</v>
      </c>
      <c r="Y113">
        <v>0.03</v>
      </c>
      <c r="AF113" t="s">
        <v>29</v>
      </c>
      <c r="AG113" t="s">
        <v>30</v>
      </c>
      <c r="AH113" s="1">
        <v>1</v>
      </c>
      <c r="AI113">
        <v>0.03</v>
      </c>
      <c r="AJ113">
        <v>550</v>
      </c>
      <c r="AK113">
        <v>16.5</v>
      </c>
      <c r="AM113">
        <v>16.5</v>
      </c>
      <c r="AN113">
        <v>0</v>
      </c>
      <c r="AO113">
        <v>0</v>
      </c>
      <c r="AP113" t="s">
        <v>0</v>
      </c>
      <c r="AQ113" t="s">
        <v>264</v>
      </c>
      <c r="AR113">
        <v>30358</v>
      </c>
      <c r="AS113" t="s">
        <v>265</v>
      </c>
      <c r="AT113">
        <v>10</v>
      </c>
      <c r="AU113">
        <v>1</v>
      </c>
      <c r="AV113" t="s">
        <v>266</v>
      </c>
      <c r="AW113">
        <v>0</v>
      </c>
      <c r="AX113">
        <v>50</v>
      </c>
      <c r="AY113">
        <v>50</v>
      </c>
      <c r="AZ113" t="s">
        <v>285</v>
      </c>
      <c r="BC113">
        <v>1</v>
      </c>
      <c r="BE113">
        <v>1</v>
      </c>
      <c r="BG113">
        <v>0</v>
      </c>
      <c r="BH113">
        <v>100</v>
      </c>
      <c r="BI113">
        <v>0</v>
      </c>
      <c r="BK113">
        <v>12.543737999999999</v>
      </c>
      <c r="BL113">
        <v>10.984851000000001</v>
      </c>
      <c r="BM113">
        <v>1.5588869999999999</v>
      </c>
      <c r="BN113">
        <v>24.295808000000001</v>
      </c>
      <c r="BO113">
        <v>9.5563579999999995</v>
      </c>
      <c r="BP113">
        <v>14.73945</v>
      </c>
      <c r="BQ113">
        <v>-0.17717271000000001</v>
      </c>
      <c r="BR113">
        <v>0.63847728999999998</v>
      </c>
      <c r="BS113">
        <v>-0.81564999999999999</v>
      </c>
      <c r="BT113">
        <v>3.4540817000000001E-3</v>
      </c>
      <c r="BU113">
        <v>1.5520241E-3</v>
      </c>
      <c r="BV113">
        <v>7.0268957000000005E-4</v>
      </c>
      <c r="BW113" s="2">
        <v>6.9693000000000001E-8</v>
      </c>
      <c r="BX113">
        <v>1</v>
      </c>
      <c r="BY113">
        <v>0</v>
      </c>
      <c r="BZ113">
        <v>6</v>
      </c>
      <c r="CA113">
        <v>206.971677</v>
      </c>
      <c r="CB113">
        <v>181.25004150000001</v>
      </c>
      <c r="CC113">
        <v>25.721635500000001</v>
      </c>
      <c r="CD113">
        <v>400.880832</v>
      </c>
      <c r="CE113">
        <v>157.67990699999999</v>
      </c>
      <c r="CF113">
        <v>243.20092500000001</v>
      </c>
      <c r="CG113">
        <v>-2.9233497150000001</v>
      </c>
      <c r="CH113">
        <v>10.534875285</v>
      </c>
      <c r="CI113">
        <v>-13.458225000000001</v>
      </c>
      <c r="CJ113">
        <v>5.6992348050000002E-2</v>
      </c>
      <c r="CK113">
        <v>2.560839765E-2</v>
      </c>
      <c r="CL113">
        <v>1.1594377905E-2</v>
      </c>
      <c r="CM113" s="2">
        <v>1.1499345E-6</v>
      </c>
      <c r="CN113">
        <v>14.010810687499999</v>
      </c>
      <c r="CO113">
        <v>161.5338939474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</row>
    <row r="114" spans="1:106" x14ac:dyDescent="0.25">
      <c r="A114">
        <v>25868</v>
      </c>
      <c r="B114" t="s">
        <v>284</v>
      </c>
      <c r="C114">
        <v>50</v>
      </c>
      <c r="D114" t="s">
        <v>261</v>
      </c>
      <c r="E114">
        <v>2</v>
      </c>
      <c r="F114" t="s">
        <v>167</v>
      </c>
      <c r="G114">
        <v>31799.16</v>
      </c>
      <c r="H114" t="s">
        <v>0</v>
      </c>
      <c r="I114">
        <v>4</v>
      </c>
      <c r="J114">
        <v>31799.16</v>
      </c>
      <c r="L114">
        <v>92117.401014000003</v>
      </c>
      <c r="O114">
        <v>796834</v>
      </c>
      <c r="P114" t="s">
        <v>59</v>
      </c>
      <c r="Q114">
        <v>114</v>
      </c>
      <c r="R114" t="s">
        <v>262</v>
      </c>
      <c r="S114" t="s">
        <v>263</v>
      </c>
      <c r="T114">
        <v>0</v>
      </c>
      <c r="V114">
        <v>2142710458</v>
      </c>
      <c r="W114" t="s">
        <v>19</v>
      </c>
      <c r="Y114">
        <v>1.7999999999999999E-2</v>
      </c>
      <c r="AF114" t="s">
        <v>29</v>
      </c>
      <c r="AG114" t="s">
        <v>30</v>
      </c>
      <c r="AH114" s="1">
        <v>1</v>
      </c>
      <c r="AI114">
        <v>1.7999999999999999E-2</v>
      </c>
      <c r="AJ114">
        <v>1050</v>
      </c>
      <c r="AK114">
        <v>18.899999999999999</v>
      </c>
      <c r="AM114">
        <v>18.899999999999999</v>
      </c>
      <c r="AN114">
        <v>0</v>
      </c>
      <c r="AO114">
        <v>0</v>
      </c>
      <c r="AP114" t="s">
        <v>0</v>
      </c>
      <c r="AQ114" t="s">
        <v>264</v>
      </c>
      <c r="AR114">
        <v>30358</v>
      </c>
      <c r="AS114" t="s">
        <v>265</v>
      </c>
      <c r="AT114">
        <v>11</v>
      </c>
      <c r="AU114">
        <v>1</v>
      </c>
      <c r="AV114" t="s">
        <v>266</v>
      </c>
      <c r="AW114">
        <v>0</v>
      </c>
      <c r="AX114">
        <v>50</v>
      </c>
      <c r="AY114">
        <v>50</v>
      </c>
      <c r="AZ114" t="s">
        <v>285</v>
      </c>
      <c r="BC114">
        <v>4</v>
      </c>
      <c r="BE114">
        <v>3</v>
      </c>
      <c r="BG114">
        <v>100</v>
      </c>
      <c r="BH114">
        <v>0</v>
      </c>
      <c r="BI114">
        <v>0</v>
      </c>
      <c r="BK114">
        <v>5.401116</v>
      </c>
      <c r="BL114">
        <v>5.401116</v>
      </c>
      <c r="BM114">
        <v>0</v>
      </c>
      <c r="BN114">
        <v>3.2317733999999998</v>
      </c>
      <c r="BO114">
        <v>3.2317733999999998</v>
      </c>
      <c r="BP114">
        <v>0</v>
      </c>
      <c r="BQ114">
        <v>8.4483150000000007E-2</v>
      </c>
      <c r="BR114">
        <v>0.37648314999999999</v>
      </c>
      <c r="BS114">
        <v>-0.29199999999999998</v>
      </c>
      <c r="BT114">
        <v>1.5654682E-3</v>
      </c>
      <c r="BU114">
        <v>4.8524325999999999E-4</v>
      </c>
      <c r="BV114">
        <v>1.3231905000000001E-4</v>
      </c>
      <c r="BW114" s="2">
        <v>3.8549634999999997E-8</v>
      </c>
      <c r="BX114">
        <v>0</v>
      </c>
      <c r="BY114">
        <v>0</v>
      </c>
      <c r="BZ114">
        <v>6</v>
      </c>
      <c r="CA114">
        <v>102.0810924</v>
      </c>
      <c r="CB114">
        <v>102.0810924</v>
      </c>
      <c r="CC114">
        <v>0</v>
      </c>
      <c r="CD114">
        <v>61.080517260000001</v>
      </c>
      <c r="CE114">
        <v>61.080517260000001</v>
      </c>
      <c r="CF114">
        <v>0</v>
      </c>
      <c r="CG114">
        <v>1.596731535</v>
      </c>
      <c r="CH114">
        <v>7.1155315349999997</v>
      </c>
      <c r="CI114">
        <v>-5.5187999999999997</v>
      </c>
      <c r="CJ114">
        <v>2.9587348980000001E-2</v>
      </c>
      <c r="CK114">
        <v>9.1710976139999997E-3</v>
      </c>
      <c r="CL114">
        <v>2.5008300450000001E-3</v>
      </c>
      <c r="CM114" s="2">
        <v>7.2858810149999998E-7</v>
      </c>
      <c r="CN114">
        <v>7.6138048664999998</v>
      </c>
      <c r="CO114">
        <v>161.5338939474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</row>
    <row r="115" spans="1:106" x14ac:dyDescent="0.25">
      <c r="A115">
        <v>25868</v>
      </c>
      <c r="B115" t="s">
        <v>284</v>
      </c>
      <c r="C115">
        <v>50</v>
      </c>
      <c r="D115" t="s">
        <v>261</v>
      </c>
      <c r="E115">
        <v>2</v>
      </c>
      <c r="F115" t="s">
        <v>167</v>
      </c>
      <c r="G115">
        <v>31799.16</v>
      </c>
      <c r="H115" t="s">
        <v>0</v>
      </c>
      <c r="I115">
        <v>4</v>
      </c>
      <c r="J115">
        <v>31799.16</v>
      </c>
      <c r="L115">
        <v>92117.401014000003</v>
      </c>
      <c r="O115">
        <v>796834</v>
      </c>
      <c r="P115" t="s">
        <v>59</v>
      </c>
      <c r="Q115">
        <v>114</v>
      </c>
      <c r="R115" t="s">
        <v>262</v>
      </c>
      <c r="S115" t="s">
        <v>263</v>
      </c>
      <c r="T115">
        <v>0</v>
      </c>
      <c r="V115">
        <v>2142710458</v>
      </c>
      <c r="W115" t="s">
        <v>19</v>
      </c>
      <c r="Y115">
        <v>1.7999999999999999E-2</v>
      </c>
      <c r="AF115" t="s">
        <v>29</v>
      </c>
      <c r="AG115" t="s">
        <v>30</v>
      </c>
      <c r="AH115" s="1">
        <v>1</v>
      </c>
      <c r="AI115">
        <v>1.7999999999999999E-2</v>
      </c>
      <c r="AJ115">
        <v>1050</v>
      </c>
      <c r="AK115">
        <v>18.899999999999999</v>
      </c>
      <c r="AM115">
        <v>18.899999999999999</v>
      </c>
      <c r="AN115">
        <v>0</v>
      </c>
      <c r="AO115">
        <v>0</v>
      </c>
      <c r="AP115" t="s">
        <v>0</v>
      </c>
      <c r="AQ115" t="s">
        <v>264</v>
      </c>
      <c r="AR115">
        <v>30358</v>
      </c>
      <c r="AS115" t="s">
        <v>265</v>
      </c>
      <c r="AT115">
        <v>12</v>
      </c>
      <c r="AU115">
        <v>1</v>
      </c>
      <c r="AV115" t="s">
        <v>266</v>
      </c>
      <c r="AW115">
        <v>0</v>
      </c>
      <c r="AX115">
        <v>50</v>
      </c>
      <c r="AY115">
        <v>50</v>
      </c>
      <c r="AZ115" t="s">
        <v>285</v>
      </c>
      <c r="BC115">
        <v>4</v>
      </c>
      <c r="BE115">
        <v>3</v>
      </c>
      <c r="BG115">
        <v>100</v>
      </c>
      <c r="BH115">
        <v>0</v>
      </c>
      <c r="BI115">
        <v>0</v>
      </c>
      <c r="BK115">
        <v>5.401116</v>
      </c>
      <c r="BL115">
        <v>5.401116</v>
      </c>
      <c r="BM115">
        <v>0</v>
      </c>
      <c r="BN115">
        <v>3.2317733999999998</v>
      </c>
      <c r="BO115">
        <v>3.2317733999999998</v>
      </c>
      <c r="BP115">
        <v>0</v>
      </c>
      <c r="BQ115">
        <v>8.4483150000000007E-2</v>
      </c>
      <c r="BR115">
        <v>0.37648314999999999</v>
      </c>
      <c r="BS115">
        <v>-0.29199999999999998</v>
      </c>
      <c r="BT115">
        <v>1.5654682E-3</v>
      </c>
      <c r="BU115">
        <v>4.8524325999999999E-4</v>
      </c>
      <c r="BV115">
        <v>1.3231905000000001E-4</v>
      </c>
      <c r="BW115" s="2">
        <v>3.8549634999999997E-8</v>
      </c>
      <c r="BX115">
        <v>0</v>
      </c>
      <c r="BY115">
        <v>0</v>
      </c>
      <c r="BZ115">
        <v>6</v>
      </c>
      <c r="CA115">
        <v>102.0810924</v>
      </c>
      <c r="CB115">
        <v>102.0810924</v>
      </c>
      <c r="CC115">
        <v>0</v>
      </c>
      <c r="CD115">
        <v>61.080517260000001</v>
      </c>
      <c r="CE115">
        <v>61.080517260000001</v>
      </c>
      <c r="CF115">
        <v>0</v>
      </c>
      <c r="CG115">
        <v>1.596731535</v>
      </c>
      <c r="CH115">
        <v>7.1155315349999997</v>
      </c>
      <c r="CI115">
        <v>-5.5187999999999997</v>
      </c>
      <c r="CJ115">
        <v>2.9587348980000001E-2</v>
      </c>
      <c r="CK115">
        <v>9.1710976139999997E-3</v>
      </c>
      <c r="CL115">
        <v>2.5008300450000001E-3</v>
      </c>
      <c r="CM115" s="2">
        <v>7.2858810149999998E-7</v>
      </c>
      <c r="CN115">
        <v>7.6138048664999998</v>
      </c>
      <c r="CO115">
        <v>161.5338939474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</row>
    <row r="116" spans="1:106" x14ac:dyDescent="0.25">
      <c r="A116">
        <v>25868</v>
      </c>
      <c r="B116" t="s">
        <v>284</v>
      </c>
      <c r="C116">
        <v>50</v>
      </c>
      <c r="D116" t="s">
        <v>261</v>
      </c>
      <c r="E116">
        <v>2</v>
      </c>
      <c r="F116" t="s">
        <v>167</v>
      </c>
      <c r="G116">
        <v>31799.16</v>
      </c>
      <c r="H116" t="s">
        <v>0</v>
      </c>
      <c r="I116">
        <v>4</v>
      </c>
      <c r="J116">
        <v>31799.16</v>
      </c>
      <c r="L116">
        <v>92117.401014000003</v>
      </c>
      <c r="O116">
        <v>796834</v>
      </c>
      <c r="P116" t="s">
        <v>59</v>
      </c>
      <c r="Q116">
        <v>114</v>
      </c>
      <c r="R116" t="s">
        <v>262</v>
      </c>
      <c r="S116" t="s">
        <v>263</v>
      </c>
      <c r="T116">
        <v>0</v>
      </c>
      <c r="V116">
        <v>2142710240</v>
      </c>
      <c r="W116" t="s">
        <v>66</v>
      </c>
      <c r="Y116">
        <v>0.16</v>
      </c>
      <c r="AF116" t="s">
        <v>29</v>
      </c>
      <c r="AG116" t="s">
        <v>30</v>
      </c>
      <c r="AH116" s="1">
        <v>1</v>
      </c>
      <c r="AI116">
        <v>0.16</v>
      </c>
      <c r="AJ116">
        <v>70</v>
      </c>
      <c r="AK116">
        <v>11.2</v>
      </c>
      <c r="AM116">
        <v>11.2</v>
      </c>
      <c r="AN116">
        <v>0</v>
      </c>
      <c r="AO116">
        <v>0</v>
      </c>
      <c r="AP116" t="s">
        <v>0</v>
      </c>
      <c r="AQ116" t="s">
        <v>264</v>
      </c>
      <c r="AR116">
        <v>30358</v>
      </c>
      <c r="AS116" t="s">
        <v>265</v>
      </c>
      <c r="AT116">
        <v>13</v>
      </c>
      <c r="AU116">
        <v>1</v>
      </c>
      <c r="AV116" t="s">
        <v>266</v>
      </c>
      <c r="AW116">
        <v>0</v>
      </c>
      <c r="AX116">
        <v>50</v>
      </c>
      <c r="AY116">
        <v>50</v>
      </c>
      <c r="AZ116" t="s">
        <v>285</v>
      </c>
      <c r="BC116">
        <v>4</v>
      </c>
      <c r="BE116">
        <v>3</v>
      </c>
      <c r="BG116">
        <v>100</v>
      </c>
      <c r="BH116">
        <v>0</v>
      </c>
      <c r="BI116">
        <v>0</v>
      </c>
      <c r="BK116">
        <v>21.343074999999999</v>
      </c>
      <c r="BL116">
        <v>21.343074999999999</v>
      </c>
      <c r="BM116">
        <v>0</v>
      </c>
      <c r="BN116">
        <v>0.78469758000000001</v>
      </c>
      <c r="BO116">
        <v>0.78469758000000001</v>
      </c>
      <c r="BP116">
        <v>0</v>
      </c>
      <c r="BQ116">
        <v>1.7409311000000001</v>
      </c>
      <c r="BR116">
        <v>1.7409311000000001</v>
      </c>
      <c r="BS116">
        <v>0</v>
      </c>
      <c r="BT116">
        <v>1.1809325000000001E-2</v>
      </c>
      <c r="BU116">
        <v>3.1100953999999999E-3</v>
      </c>
      <c r="BV116">
        <v>5.0632319000000004E-3</v>
      </c>
      <c r="BW116" s="2">
        <v>7.0109999999999997E-8</v>
      </c>
      <c r="BX116">
        <v>1</v>
      </c>
      <c r="BY116">
        <v>0</v>
      </c>
      <c r="BZ116">
        <v>6</v>
      </c>
      <c r="CA116">
        <v>239.04244</v>
      </c>
      <c r="CB116">
        <v>239.04244</v>
      </c>
      <c r="CC116">
        <v>0</v>
      </c>
      <c r="CD116">
        <v>8.7886128960000001</v>
      </c>
      <c r="CE116">
        <v>8.7886128960000001</v>
      </c>
      <c r="CF116">
        <v>0</v>
      </c>
      <c r="CG116">
        <v>19.498428319999999</v>
      </c>
      <c r="CH116">
        <v>19.498428319999999</v>
      </c>
      <c r="CI116">
        <v>0</v>
      </c>
      <c r="CJ116">
        <v>0.13226444000000001</v>
      </c>
      <c r="CK116">
        <v>3.483306848E-2</v>
      </c>
      <c r="CL116">
        <v>5.6708197279999997E-2</v>
      </c>
      <c r="CM116" s="2">
        <v>7.8523200000000005E-7</v>
      </c>
      <c r="CN116">
        <v>28.853078053333</v>
      </c>
      <c r="CO116">
        <v>161.5338939474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</row>
    <row r="117" spans="1:106" x14ac:dyDescent="0.25">
      <c r="A117">
        <v>25868</v>
      </c>
      <c r="B117" t="s">
        <v>284</v>
      </c>
      <c r="C117">
        <v>50</v>
      </c>
      <c r="D117" t="s">
        <v>261</v>
      </c>
      <c r="E117">
        <v>2</v>
      </c>
      <c r="F117" t="s">
        <v>167</v>
      </c>
      <c r="G117">
        <v>31799.16</v>
      </c>
      <c r="H117" t="s">
        <v>0</v>
      </c>
      <c r="I117">
        <v>4</v>
      </c>
      <c r="J117">
        <v>31799.16</v>
      </c>
      <c r="L117">
        <v>92117.401014000003</v>
      </c>
      <c r="O117">
        <v>796835</v>
      </c>
      <c r="P117" t="s">
        <v>295</v>
      </c>
      <c r="Q117">
        <v>118</v>
      </c>
      <c r="R117" t="s">
        <v>262</v>
      </c>
      <c r="S117" t="s">
        <v>263</v>
      </c>
      <c r="T117">
        <v>592.25</v>
      </c>
      <c r="W117" t="s">
        <v>296</v>
      </c>
      <c r="Y117">
        <v>1.4999999999999999E-2</v>
      </c>
      <c r="AF117" t="s">
        <v>67</v>
      </c>
      <c r="AG117" t="s">
        <v>68</v>
      </c>
      <c r="AH117" s="1">
        <v>1</v>
      </c>
      <c r="AI117">
        <v>1.4999999999999999E-2</v>
      </c>
      <c r="AJ117">
        <v>2300</v>
      </c>
      <c r="AK117">
        <v>34.5</v>
      </c>
      <c r="AM117">
        <v>34.5</v>
      </c>
      <c r="AN117">
        <v>20432.625</v>
      </c>
      <c r="AO117">
        <v>0.64255235043945003</v>
      </c>
      <c r="AP117" t="s">
        <v>0</v>
      </c>
      <c r="AQ117" t="s">
        <v>264</v>
      </c>
      <c r="AR117">
        <v>30358</v>
      </c>
      <c r="AS117" t="s">
        <v>265</v>
      </c>
      <c r="AT117">
        <v>1</v>
      </c>
      <c r="AU117">
        <v>1</v>
      </c>
      <c r="AV117" t="s">
        <v>266</v>
      </c>
      <c r="AW117">
        <v>0</v>
      </c>
      <c r="AX117">
        <v>100</v>
      </c>
      <c r="AY117">
        <v>50</v>
      </c>
      <c r="AZ117" t="s">
        <v>288</v>
      </c>
      <c r="BA117">
        <v>100</v>
      </c>
      <c r="BC117">
        <v>2</v>
      </c>
      <c r="BE117">
        <v>3</v>
      </c>
      <c r="BG117">
        <v>100</v>
      </c>
      <c r="BH117">
        <v>0</v>
      </c>
      <c r="BI117">
        <v>0</v>
      </c>
      <c r="BK117">
        <v>14.175217999999999</v>
      </c>
      <c r="BL117">
        <v>14.175217999999999</v>
      </c>
      <c r="BM117">
        <v>0</v>
      </c>
      <c r="BN117">
        <v>0.71473628</v>
      </c>
      <c r="BO117">
        <v>0.71473628</v>
      </c>
      <c r="BP117">
        <v>0</v>
      </c>
      <c r="BQ117">
        <v>0.84119993000000004</v>
      </c>
      <c r="BR117">
        <v>0.84119993000000004</v>
      </c>
      <c r="BS117">
        <v>0</v>
      </c>
      <c r="BT117">
        <v>2.9113336000000001E-3</v>
      </c>
      <c r="BU117">
        <v>1.2597520000000001E-3</v>
      </c>
      <c r="BV117">
        <v>2.6370855E-4</v>
      </c>
      <c r="BW117" s="2">
        <v>9.4436285000000001E-8</v>
      </c>
      <c r="BX117">
        <v>0</v>
      </c>
      <c r="BY117">
        <v>0</v>
      </c>
      <c r="BZ117">
        <v>6</v>
      </c>
      <c r="CA117">
        <v>489.04502100000002</v>
      </c>
      <c r="CB117">
        <v>489.04502100000002</v>
      </c>
      <c r="CC117">
        <v>0</v>
      </c>
      <c r="CD117">
        <v>24.658401659999999</v>
      </c>
      <c r="CE117">
        <v>24.658401659999999</v>
      </c>
      <c r="CF117">
        <v>0</v>
      </c>
      <c r="CG117">
        <v>29.021397584999999</v>
      </c>
      <c r="CH117">
        <v>29.021397584999999</v>
      </c>
      <c r="CI117">
        <v>0</v>
      </c>
      <c r="CJ117">
        <v>0.1004410092</v>
      </c>
      <c r="CK117">
        <v>4.3461444000000002E-2</v>
      </c>
      <c r="CL117">
        <v>9.0979449749999993E-3</v>
      </c>
      <c r="CM117" s="2">
        <v>3.2580518325000001E-6</v>
      </c>
      <c r="CN117">
        <v>34.530534857500001</v>
      </c>
      <c r="CO117">
        <v>175.52936395702</v>
      </c>
      <c r="CP117">
        <v>9.1083196438915</v>
      </c>
      <c r="CQ117">
        <v>9.1083196438915</v>
      </c>
      <c r="CR117">
        <v>0</v>
      </c>
      <c r="CS117">
        <v>0.45925547665834998</v>
      </c>
      <c r="CT117">
        <v>0.45925547665834998</v>
      </c>
      <c r="CU117">
        <v>0</v>
      </c>
      <c r="CV117">
        <v>0.54051499221099997</v>
      </c>
      <c r="CW117">
        <v>0.54051499221099997</v>
      </c>
      <c r="CX117">
        <v>0</v>
      </c>
      <c r="CY117">
        <v>1.8706842475933001E-3</v>
      </c>
      <c r="CZ117">
        <v>8.0945660857078996E-4</v>
      </c>
      <c r="DA117">
        <v>1.6944654863348E-4</v>
      </c>
      <c r="DB117" s="2">
        <v>6.0680256893519002E-8</v>
      </c>
    </row>
    <row r="118" spans="1:106" x14ac:dyDescent="0.25">
      <c r="A118">
        <v>25868</v>
      </c>
      <c r="B118" t="s">
        <v>284</v>
      </c>
      <c r="C118">
        <v>50</v>
      </c>
      <c r="D118" t="s">
        <v>261</v>
      </c>
      <c r="E118">
        <v>2</v>
      </c>
      <c r="F118" t="s">
        <v>167</v>
      </c>
      <c r="G118">
        <v>31799.16</v>
      </c>
      <c r="H118" t="s">
        <v>0</v>
      </c>
      <c r="I118">
        <v>4</v>
      </c>
      <c r="J118">
        <v>31799.16</v>
      </c>
      <c r="L118">
        <v>92117.401014000003</v>
      </c>
      <c r="O118">
        <v>796835</v>
      </c>
      <c r="P118" t="s">
        <v>295</v>
      </c>
      <c r="Q118">
        <v>118</v>
      </c>
      <c r="R118" t="s">
        <v>262</v>
      </c>
      <c r="S118" t="s">
        <v>263</v>
      </c>
      <c r="T118">
        <v>592.25</v>
      </c>
      <c r="V118">
        <v>2142712579</v>
      </c>
      <c r="W118" t="s">
        <v>297</v>
      </c>
      <c r="Y118">
        <v>2.5000000000000001E-2</v>
      </c>
      <c r="AF118" t="s">
        <v>67</v>
      </c>
      <c r="AG118" t="s">
        <v>68</v>
      </c>
      <c r="AH118" s="1">
        <v>1</v>
      </c>
      <c r="AI118">
        <v>2.5000000000000001E-2</v>
      </c>
      <c r="AJ118">
        <v>1100</v>
      </c>
      <c r="AK118">
        <v>27.5</v>
      </c>
      <c r="AM118">
        <v>27.5</v>
      </c>
      <c r="AN118">
        <v>16286.875</v>
      </c>
      <c r="AO118">
        <v>0.51217940977056997</v>
      </c>
      <c r="AP118" t="s">
        <v>0</v>
      </c>
      <c r="AQ118" t="s">
        <v>264</v>
      </c>
      <c r="AR118">
        <v>30358</v>
      </c>
      <c r="AS118" t="s">
        <v>265</v>
      </c>
      <c r="AT118">
        <v>2</v>
      </c>
      <c r="AU118">
        <v>1</v>
      </c>
      <c r="AV118" t="s">
        <v>266</v>
      </c>
      <c r="AW118">
        <v>0</v>
      </c>
      <c r="AX118">
        <v>100</v>
      </c>
      <c r="AY118">
        <v>50</v>
      </c>
      <c r="AZ118" t="s">
        <v>285</v>
      </c>
      <c r="BA118">
        <v>100</v>
      </c>
      <c r="BC118">
        <v>4</v>
      </c>
      <c r="BE118">
        <v>3</v>
      </c>
      <c r="BG118">
        <v>100</v>
      </c>
      <c r="BH118">
        <v>0</v>
      </c>
      <c r="BI118">
        <v>0</v>
      </c>
      <c r="BK118">
        <v>5.401116</v>
      </c>
      <c r="BL118">
        <v>5.401116</v>
      </c>
      <c r="BM118">
        <v>0</v>
      </c>
      <c r="BN118">
        <v>3.2317733999999998</v>
      </c>
      <c r="BO118">
        <v>3.2317733999999998</v>
      </c>
      <c r="BP118">
        <v>0</v>
      </c>
      <c r="BQ118">
        <v>8.4483150000000007E-2</v>
      </c>
      <c r="BR118">
        <v>0.37648314999999999</v>
      </c>
      <c r="BS118">
        <v>-0.29199999999999998</v>
      </c>
      <c r="BT118">
        <v>1.5654682E-3</v>
      </c>
      <c r="BU118">
        <v>4.8524325999999999E-4</v>
      </c>
      <c r="BV118">
        <v>1.3231905000000001E-4</v>
      </c>
      <c r="BW118" s="2">
        <v>3.8549634999999997E-8</v>
      </c>
      <c r="BX118">
        <v>0</v>
      </c>
      <c r="BY118">
        <v>0</v>
      </c>
      <c r="BZ118">
        <v>6</v>
      </c>
      <c r="CA118">
        <v>148.53068999999999</v>
      </c>
      <c r="CB118">
        <v>148.53068999999999</v>
      </c>
      <c r="CC118">
        <v>0</v>
      </c>
      <c r="CD118">
        <v>88.873768499999997</v>
      </c>
      <c r="CE118">
        <v>88.873768499999997</v>
      </c>
      <c r="CF118">
        <v>0</v>
      </c>
      <c r="CG118">
        <v>2.3232866250000002</v>
      </c>
      <c r="CH118">
        <v>10.353286625000001</v>
      </c>
      <c r="CI118">
        <v>-8.0299999999999994</v>
      </c>
      <c r="CJ118">
        <v>4.3050375500000002E-2</v>
      </c>
      <c r="CK118">
        <v>1.3344189649999999E-2</v>
      </c>
      <c r="CL118">
        <v>3.6387738750000001E-3</v>
      </c>
      <c r="CM118" s="2">
        <v>1.0601149625E-6</v>
      </c>
      <c r="CN118">
        <v>11.078287504166999</v>
      </c>
      <c r="CO118">
        <v>175.52936395702</v>
      </c>
      <c r="CP118">
        <v>2.7663404049824001</v>
      </c>
      <c r="CQ118">
        <v>2.7663404049824001</v>
      </c>
      <c r="CR118">
        <v>0</v>
      </c>
      <c r="CS118">
        <v>1.6552477925242</v>
      </c>
      <c r="CT118">
        <v>1.6552477925242</v>
      </c>
      <c r="CU118">
        <v>0</v>
      </c>
      <c r="CV118">
        <v>4.3270529902559002E-2</v>
      </c>
      <c r="CW118">
        <v>0.19282691755556999</v>
      </c>
      <c r="CX118">
        <v>-0.14955638765300999</v>
      </c>
      <c r="CY118">
        <v>8.0180057869059997E-4</v>
      </c>
      <c r="CZ118">
        <v>2.4853160650194998E-4</v>
      </c>
      <c r="DA118" s="2">
        <v>6.7771092930402996E-5</v>
      </c>
      <c r="DB118" s="2">
        <v>1.9744329301170999E-8</v>
      </c>
    </row>
    <row r="119" spans="1:106" x14ac:dyDescent="0.25">
      <c r="A119">
        <v>25868</v>
      </c>
      <c r="B119" t="s">
        <v>284</v>
      </c>
      <c r="C119">
        <v>50</v>
      </c>
      <c r="D119" t="s">
        <v>261</v>
      </c>
      <c r="E119">
        <v>2</v>
      </c>
      <c r="F119" t="s">
        <v>167</v>
      </c>
      <c r="G119">
        <v>31799.16</v>
      </c>
      <c r="H119" t="s">
        <v>0</v>
      </c>
      <c r="I119">
        <v>4</v>
      </c>
      <c r="J119">
        <v>31799.16</v>
      </c>
      <c r="L119">
        <v>92117.401014000003</v>
      </c>
      <c r="O119">
        <v>796835</v>
      </c>
      <c r="P119" t="s">
        <v>295</v>
      </c>
      <c r="Q119">
        <v>118</v>
      </c>
      <c r="R119" t="s">
        <v>262</v>
      </c>
      <c r="S119" t="s">
        <v>263</v>
      </c>
      <c r="T119">
        <v>592.25</v>
      </c>
      <c r="V119">
        <v>2142719798</v>
      </c>
      <c r="W119" t="s">
        <v>49</v>
      </c>
      <c r="Y119">
        <v>8.8000000000000005E-3</v>
      </c>
      <c r="AF119" t="s">
        <v>67</v>
      </c>
      <c r="AG119" t="s">
        <v>68</v>
      </c>
      <c r="AH119" s="1">
        <v>1</v>
      </c>
      <c r="AI119">
        <v>8.8000000000000005E-3</v>
      </c>
      <c r="AJ119">
        <v>300</v>
      </c>
      <c r="AK119">
        <v>2.64</v>
      </c>
      <c r="AM119">
        <v>2.64</v>
      </c>
      <c r="AN119">
        <v>1563.54</v>
      </c>
      <c r="AO119">
        <v>4.9169223337975E-2</v>
      </c>
      <c r="AP119" t="s">
        <v>0</v>
      </c>
      <c r="AQ119" t="s">
        <v>264</v>
      </c>
      <c r="AR119">
        <v>30358</v>
      </c>
      <c r="AS119" t="s">
        <v>265</v>
      </c>
      <c r="AT119">
        <v>3</v>
      </c>
      <c r="AU119">
        <v>1</v>
      </c>
      <c r="AV119" t="s">
        <v>266</v>
      </c>
      <c r="AW119">
        <v>0</v>
      </c>
      <c r="AX119">
        <v>100</v>
      </c>
      <c r="AY119">
        <v>25</v>
      </c>
      <c r="AZ119" t="s">
        <v>286</v>
      </c>
      <c r="BA119">
        <v>100</v>
      </c>
      <c r="BC119">
        <v>3</v>
      </c>
      <c r="BE119">
        <v>3</v>
      </c>
      <c r="BG119">
        <v>0</v>
      </c>
      <c r="BH119">
        <v>100</v>
      </c>
      <c r="BI119">
        <v>0</v>
      </c>
      <c r="BK119">
        <v>85.988403000000005</v>
      </c>
      <c r="BL119">
        <v>43.518402999999999</v>
      </c>
      <c r="BM119">
        <v>42.47</v>
      </c>
      <c r="BN119">
        <v>1.3022769000000001</v>
      </c>
      <c r="BO119">
        <v>1.3022769000000001</v>
      </c>
      <c r="BP119">
        <v>0</v>
      </c>
      <c r="BQ119">
        <v>2.8430924000000002</v>
      </c>
      <c r="BR119">
        <v>2.8640924000000001</v>
      </c>
      <c r="BS119">
        <v>-2.1000000000000001E-2</v>
      </c>
      <c r="BT119">
        <v>8.3217996000000006E-3</v>
      </c>
      <c r="BU119">
        <v>1.6064606999999999E-3</v>
      </c>
      <c r="BV119">
        <v>2.4785428000000001E-3</v>
      </c>
      <c r="BW119" s="2">
        <v>3.9116873999999998E-8</v>
      </c>
      <c r="BX119">
        <v>0</v>
      </c>
      <c r="BY119">
        <v>0</v>
      </c>
      <c r="BZ119">
        <v>6</v>
      </c>
      <c r="CA119">
        <v>227.00938392</v>
      </c>
      <c r="CB119">
        <v>114.88858392</v>
      </c>
      <c r="CC119">
        <v>112.1208</v>
      </c>
      <c r="CD119">
        <v>3.4380110159999999</v>
      </c>
      <c r="CE119">
        <v>3.4380110159999999</v>
      </c>
      <c r="CF119">
        <v>0</v>
      </c>
      <c r="CG119">
        <v>7.5057639360000001</v>
      </c>
      <c r="CH119">
        <v>7.5612039360000001</v>
      </c>
      <c r="CI119">
        <v>-5.5440000000000003E-2</v>
      </c>
      <c r="CJ119">
        <v>2.1969550944000001E-2</v>
      </c>
      <c r="CK119">
        <v>4.2410562479999999E-3</v>
      </c>
      <c r="CL119">
        <v>6.543352992E-3</v>
      </c>
      <c r="CM119" s="2">
        <v>1.0326854736E-7</v>
      </c>
      <c r="CN119">
        <v>11.7472135792</v>
      </c>
      <c r="CO119">
        <v>175.52936395702</v>
      </c>
      <c r="CP119">
        <v>4.2279829915827998</v>
      </c>
      <c r="CQ119">
        <v>2.1397660764189999</v>
      </c>
      <c r="CR119">
        <v>2.0882169151637999</v>
      </c>
      <c r="CS119">
        <v>6.4031943743986006E-2</v>
      </c>
      <c r="CT119">
        <v>6.4031943743986006E-2</v>
      </c>
      <c r="CU119">
        <v>0</v>
      </c>
      <c r="CV119">
        <v>0.13979264518609999</v>
      </c>
      <c r="CW119">
        <v>0.14082519887619999</v>
      </c>
      <c r="CX119">
        <v>-1.0325536900975001E-3</v>
      </c>
      <c r="CY119">
        <v>4.0917642310626999E-4</v>
      </c>
      <c r="CZ119" s="2">
        <v>7.8988424941979997E-5</v>
      </c>
      <c r="DA119">
        <v>1.2186802448593E-4</v>
      </c>
      <c r="DB119" s="2">
        <v>1.9233463139894002E-9</v>
      </c>
    </row>
    <row r="120" spans="1:106" x14ac:dyDescent="0.25">
      <c r="A120">
        <v>25868</v>
      </c>
      <c r="B120" t="s">
        <v>284</v>
      </c>
      <c r="C120">
        <v>50</v>
      </c>
      <c r="D120" t="s">
        <v>261</v>
      </c>
      <c r="E120">
        <v>2</v>
      </c>
      <c r="F120" t="s">
        <v>167</v>
      </c>
      <c r="G120">
        <v>31799.16</v>
      </c>
      <c r="H120" t="s">
        <v>0</v>
      </c>
      <c r="I120">
        <v>4</v>
      </c>
      <c r="J120">
        <v>31799.16</v>
      </c>
      <c r="L120">
        <v>92117.401014000003</v>
      </c>
      <c r="O120">
        <v>796835</v>
      </c>
      <c r="P120" t="s">
        <v>295</v>
      </c>
      <c r="Q120">
        <v>118</v>
      </c>
      <c r="R120" t="s">
        <v>262</v>
      </c>
      <c r="S120" t="s">
        <v>263</v>
      </c>
      <c r="T120">
        <v>592.25</v>
      </c>
      <c r="V120">
        <v>2142723421</v>
      </c>
      <c r="W120" t="s">
        <v>63</v>
      </c>
      <c r="Y120">
        <v>0.03</v>
      </c>
      <c r="AF120" t="s">
        <v>67</v>
      </c>
      <c r="AG120" t="s">
        <v>68</v>
      </c>
      <c r="AH120" s="1">
        <v>1</v>
      </c>
      <c r="AI120">
        <v>0.03</v>
      </c>
      <c r="AJ120">
        <v>150</v>
      </c>
      <c r="AK120">
        <v>4.5</v>
      </c>
      <c r="AM120">
        <v>4.5</v>
      </c>
      <c r="AN120">
        <v>2665.125</v>
      </c>
      <c r="AO120">
        <v>8.3811176144275995E-2</v>
      </c>
      <c r="AP120" t="s">
        <v>0</v>
      </c>
      <c r="AQ120" t="s">
        <v>264</v>
      </c>
      <c r="AR120">
        <v>30358</v>
      </c>
      <c r="AS120" t="s">
        <v>265</v>
      </c>
      <c r="AT120">
        <v>4</v>
      </c>
      <c r="AU120">
        <v>1</v>
      </c>
      <c r="AV120" t="s">
        <v>266</v>
      </c>
      <c r="AW120">
        <v>0</v>
      </c>
      <c r="AX120">
        <v>100</v>
      </c>
      <c r="AY120">
        <v>50</v>
      </c>
      <c r="AZ120" t="s">
        <v>285</v>
      </c>
      <c r="BA120">
        <v>100</v>
      </c>
      <c r="BC120">
        <v>4</v>
      </c>
      <c r="BE120">
        <v>3</v>
      </c>
      <c r="BG120">
        <v>100</v>
      </c>
      <c r="BH120">
        <v>0</v>
      </c>
      <c r="BI120">
        <v>0</v>
      </c>
      <c r="BK120">
        <v>21.343074999999999</v>
      </c>
      <c r="BL120">
        <v>21.343074999999999</v>
      </c>
      <c r="BM120">
        <v>0</v>
      </c>
      <c r="BN120">
        <v>0.78469758000000001</v>
      </c>
      <c r="BO120">
        <v>0.78469758000000001</v>
      </c>
      <c r="BP120">
        <v>0</v>
      </c>
      <c r="BQ120">
        <v>1.7409311000000001</v>
      </c>
      <c r="BR120">
        <v>1.7409311000000001</v>
      </c>
      <c r="BS120">
        <v>0</v>
      </c>
      <c r="BT120">
        <v>1.1809325000000001E-2</v>
      </c>
      <c r="BU120">
        <v>3.1100953999999999E-3</v>
      </c>
      <c r="BV120">
        <v>5.0632319000000004E-3</v>
      </c>
      <c r="BW120" s="2">
        <v>7.0109999999999997E-8</v>
      </c>
      <c r="BX120">
        <v>0</v>
      </c>
      <c r="BY120">
        <v>0</v>
      </c>
      <c r="BZ120">
        <v>6</v>
      </c>
      <c r="CA120">
        <v>96.043837499999995</v>
      </c>
      <c r="CB120">
        <v>96.043837499999995</v>
      </c>
      <c r="CC120">
        <v>0</v>
      </c>
      <c r="CD120">
        <v>3.5311391099999998</v>
      </c>
      <c r="CE120">
        <v>3.5311391099999998</v>
      </c>
      <c r="CF120">
        <v>0</v>
      </c>
      <c r="CG120">
        <v>7.8341899499999998</v>
      </c>
      <c r="CH120">
        <v>7.8341899499999998</v>
      </c>
      <c r="CI120">
        <v>0</v>
      </c>
      <c r="CJ120">
        <v>5.3141962500000001E-2</v>
      </c>
      <c r="CK120">
        <v>1.3995429300000001E-2</v>
      </c>
      <c r="CL120">
        <v>2.2784543550000001E-2</v>
      </c>
      <c r="CM120" s="2">
        <v>3.1549500000000001E-7</v>
      </c>
      <c r="CN120">
        <v>11.592754575000001</v>
      </c>
      <c r="CO120">
        <v>175.52936395702</v>
      </c>
      <c r="CP120">
        <v>1.7887882182854999</v>
      </c>
      <c r="CQ120">
        <v>1.7887882182854999</v>
      </c>
      <c r="CR120">
        <v>0</v>
      </c>
      <c r="CS120">
        <v>6.5766427097367006E-2</v>
      </c>
      <c r="CT120">
        <v>6.5766427097367006E-2</v>
      </c>
      <c r="CU120">
        <v>0</v>
      </c>
      <c r="CV120">
        <v>0.14590948307714999</v>
      </c>
      <c r="CW120">
        <v>0.14590948307714999</v>
      </c>
      <c r="CX120">
        <v>0</v>
      </c>
      <c r="CY120">
        <v>9.8975341771999998E-4</v>
      </c>
      <c r="CZ120">
        <v>2.6066075339489997E-4</v>
      </c>
      <c r="DA120">
        <v>4.2435542063020998E-4</v>
      </c>
      <c r="DB120" s="2">
        <v>5.8760015594751997E-9</v>
      </c>
    </row>
    <row r="121" spans="1:106" x14ac:dyDescent="0.25">
      <c r="A121">
        <v>25868</v>
      </c>
      <c r="B121" t="s">
        <v>284</v>
      </c>
      <c r="C121">
        <v>50</v>
      </c>
      <c r="D121" t="s">
        <v>261</v>
      </c>
      <c r="E121">
        <v>2</v>
      </c>
      <c r="F121" t="s">
        <v>167</v>
      </c>
      <c r="G121">
        <v>31799.16</v>
      </c>
      <c r="H121" t="s">
        <v>0</v>
      </c>
      <c r="I121">
        <v>4</v>
      </c>
      <c r="J121">
        <v>31799.16</v>
      </c>
      <c r="L121">
        <v>92117.401014000003</v>
      </c>
      <c r="O121">
        <v>796835</v>
      </c>
      <c r="P121" t="s">
        <v>295</v>
      </c>
      <c r="Q121">
        <v>118</v>
      </c>
      <c r="R121" t="s">
        <v>262</v>
      </c>
      <c r="S121" t="s">
        <v>263</v>
      </c>
      <c r="T121">
        <v>592.25</v>
      </c>
      <c r="V121">
        <v>2142732300</v>
      </c>
      <c r="W121" t="s">
        <v>44</v>
      </c>
      <c r="Y121">
        <v>1E-3</v>
      </c>
      <c r="AF121" t="s">
        <v>67</v>
      </c>
      <c r="AG121" t="s">
        <v>68</v>
      </c>
      <c r="AH121" s="1">
        <v>1</v>
      </c>
      <c r="AI121">
        <v>1E-3</v>
      </c>
      <c r="AJ121">
        <v>300</v>
      </c>
      <c r="AK121">
        <v>0.3</v>
      </c>
      <c r="AM121">
        <v>0.3</v>
      </c>
      <c r="AN121">
        <v>177.67500000000001</v>
      </c>
      <c r="AO121">
        <v>5.5874117429516998E-3</v>
      </c>
      <c r="AP121" t="s">
        <v>0</v>
      </c>
      <c r="AQ121" t="s">
        <v>264</v>
      </c>
      <c r="AR121">
        <v>30358</v>
      </c>
      <c r="AS121" t="s">
        <v>265</v>
      </c>
      <c r="AT121">
        <v>5</v>
      </c>
      <c r="AU121">
        <v>1</v>
      </c>
      <c r="AV121" t="s">
        <v>266</v>
      </c>
      <c r="AW121">
        <v>0</v>
      </c>
      <c r="AX121">
        <v>100</v>
      </c>
      <c r="AY121">
        <v>25</v>
      </c>
      <c r="AZ121" t="s">
        <v>286</v>
      </c>
      <c r="BA121">
        <v>100</v>
      </c>
      <c r="BC121">
        <v>3</v>
      </c>
      <c r="BE121">
        <v>3</v>
      </c>
      <c r="BG121">
        <v>0</v>
      </c>
      <c r="BH121">
        <v>100</v>
      </c>
      <c r="BI121">
        <v>0</v>
      </c>
      <c r="BK121">
        <v>85.988403000000005</v>
      </c>
      <c r="BL121">
        <v>43.518402999999999</v>
      </c>
      <c r="BM121">
        <v>42.47</v>
      </c>
      <c r="BN121">
        <v>1.3022769000000001</v>
      </c>
      <c r="BO121">
        <v>1.3022769000000001</v>
      </c>
      <c r="BP121">
        <v>0</v>
      </c>
      <c r="BQ121">
        <v>2.8430924000000002</v>
      </c>
      <c r="BR121">
        <v>2.8640924000000001</v>
      </c>
      <c r="BS121">
        <v>-2.1000000000000001E-2</v>
      </c>
      <c r="BT121">
        <v>8.3217996000000006E-3</v>
      </c>
      <c r="BU121">
        <v>1.6064606999999999E-3</v>
      </c>
      <c r="BV121">
        <v>2.4785428000000001E-3</v>
      </c>
      <c r="BW121" s="2">
        <v>3.9116873999999998E-8</v>
      </c>
      <c r="BX121">
        <v>0</v>
      </c>
      <c r="BY121">
        <v>0</v>
      </c>
      <c r="BZ121">
        <v>6</v>
      </c>
      <c r="CA121">
        <v>25.796520900000001</v>
      </c>
      <c r="CB121">
        <v>13.055520899999999</v>
      </c>
      <c r="CC121">
        <v>12.741</v>
      </c>
      <c r="CD121">
        <v>0.39068307000000002</v>
      </c>
      <c r="CE121">
        <v>0.39068307000000002</v>
      </c>
      <c r="CF121">
        <v>0</v>
      </c>
      <c r="CG121">
        <v>0.85292771999999994</v>
      </c>
      <c r="CH121">
        <v>0.85922772000000003</v>
      </c>
      <c r="CI121">
        <v>-6.3E-3</v>
      </c>
      <c r="CJ121">
        <v>2.4965398799999998E-3</v>
      </c>
      <c r="CK121">
        <v>4.8193820999999998E-4</v>
      </c>
      <c r="CL121">
        <v>7.4356284000000003E-4</v>
      </c>
      <c r="CM121" s="2">
        <v>1.1735062200000001E-8</v>
      </c>
      <c r="CN121">
        <v>1.3349106340000001</v>
      </c>
      <c r="CO121">
        <v>175.52936395702</v>
      </c>
      <c r="CP121">
        <v>0.48045261267986</v>
      </c>
      <c r="CQ121">
        <v>0.24315523595669999</v>
      </c>
      <c r="CR121">
        <v>0.23729737672316001</v>
      </c>
      <c r="CS121">
        <v>7.2763572436346999E-3</v>
      </c>
      <c r="CT121">
        <v>7.2763572436346999E-3</v>
      </c>
      <c r="CU121">
        <v>0</v>
      </c>
      <c r="CV121">
        <v>1.5885527862056999E-2</v>
      </c>
      <c r="CW121">
        <v>1.6002863508658999E-2</v>
      </c>
      <c r="CX121">
        <v>-1.1733564660199E-4</v>
      </c>
      <c r="CY121" s="2">
        <v>4.6497320807530997E-5</v>
      </c>
      <c r="CZ121" s="2">
        <v>8.9759573797704008E-6</v>
      </c>
      <c r="DA121" s="2">
        <v>1.3848639146128E-5</v>
      </c>
      <c r="DB121" s="2">
        <v>2.1856208113515999E-10</v>
      </c>
    </row>
    <row r="122" spans="1:106" x14ac:dyDescent="0.25">
      <c r="A122">
        <v>25868</v>
      </c>
      <c r="B122" t="s">
        <v>284</v>
      </c>
      <c r="C122">
        <v>50</v>
      </c>
      <c r="D122" t="s">
        <v>261</v>
      </c>
      <c r="E122">
        <v>2</v>
      </c>
      <c r="F122" t="s">
        <v>167</v>
      </c>
      <c r="G122">
        <v>31799.16</v>
      </c>
      <c r="H122" t="s">
        <v>0</v>
      </c>
      <c r="I122">
        <v>4</v>
      </c>
      <c r="J122">
        <v>31799.16</v>
      </c>
      <c r="L122">
        <v>92117.401014000003</v>
      </c>
      <c r="O122">
        <v>796835</v>
      </c>
      <c r="P122" t="s">
        <v>295</v>
      </c>
      <c r="Q122">
        <v>118</v>
      </c>
      <c r="R122" t="s">
        <v>262</v>
      </c>
      <c r="S122" t="s">
        <v>263</v>
      </c>
      <c r="T122">
        <v>592.25</v>
      </c>
      <c r="W122" t="s">
        <v>31</v>
      </c>
      <c r="Y122">
        <v>0.10299999999999999</v>
      </c>
      <c r="AF122" t="s">
        <v>67</v>
      </c>
      <c r="AG122" t="s">
        <v>68</v>
      </c>
      <c r="AH122" s="1">
        <v>1</v>
      </c>
      <c r="AI122">
        <v>0.10299999999999999</v>
      </c>
      <c r="AJ122">
        <v>1800</v>
      </c>
      <c r="AK122">
        <v>185.4</v>
      </c>
      <c r="AM122">
        <v>185.4</v>
      </c>
      <c r="AN122">
        <v>109803.15</v>
      </c>
      <c r="AO122">
        <v>3.4530204571441998</v>
      </c>
      <c r="AP122" t="s">
        <v>0</v>
      </c>
      <c r="AQ122" t="s">
        <v>264</v>
      </c>
      <c r="AR122">
        <v>30358</v>
      </c>
      <c r="AS122" t="s">
        <v>265</v>
      </c>
      <c r="AT122">
        <v>6</v>
      </c>
      <c r="AU122">
        <v>1</v>
      </c>
      <c r="AV122" t="s">
        <v>266</v>
      </c>
      <c r="AW122">
        <v>0</v>
      </c>
      <c r="AX122">
        <v>100</v>
      </c>
      <c r="AY122">
        <v>50</v>
      </c>
      <c r="AZ122" t="s">
        <v>285</v>
      </c>
      <c r="BA122">
        <v>100</v>
      </c>
      <c r="BC122">
        <v>2</v>
      </c>
      <c r="BE122">
        <v>1</v>
      </c>
      <c r="BG122">
        <v>100</v>
      </c>
      <c r="BH122">
        <v>0</v>
      </c>
      <c r="BI122">
        <v>0</v>
      </c>
      <c r="BK122">
        <v>0.10370840000000001</v>
      </c>
      <c r="BL122">
        <v>0.10370840000000001</v>
      </c>
      <c r="BM122">
        <v>0</v>
      </c>
      <c r="BN122">
        <v>2.6199716999999998E-3</v>
      </c>
      <c r="BO122">
        <v>2.6199716999999998E-3</v>
      </c>
      <c r="BP122">
        <v>0</v>
      </c>
      <c r="BQ122">
        <v>7.0793302999999997E-3</v>
      </c>
      <c r="BR122">
        <v>7.0793302999999997E-3</v>
      </c>
      <c r="BS122">
        <v>0</v>
      </c>
      <c r="BT122" s="2">
        <v>4.8332080000000003E-5</v>
      </c>
      <c r="BU122" s="2">
        <v>1.4589555E-5</v>
      </c>
      <c r="BV122" s="2">
        <v>5.2414253000000002E-6</v>
      </c>
      <c r="BW122" s="2">
        <v>7.5267095999999998E-10</v>
      </c>
      <c r="BX122">
        <v>0</v>
      </c>
      <c r="BY122">
        <v>0</v>
      </c>
      <c r="BZ122">
        <v>6</v>
      </c>
      <c r="CA122">
        <v>19.227537359999999</v>
      </c>
      <c r="CB122">
        <v>19.227537359999999</v>
      </c>
      <c r="CC122">
        <v>0</v>
      </c>
      <c r="CD122">
        <v>0.48574275317999999</v>
      </c>
      <c r="CE122">
        <v>0.48574275317999999</v>
      </c>
      <c r="CF122">
        <v>0</v>
      </c>
      <c r="CG122">
        <v>1.3125078376199999</v>
      </c>
      <c r="CH122">
        <v>1.3125078376199999</v>
      </c>
      <c r="CI122">
        <v>0</v>
      </c>
      <c r="CJ122">
        <v>8.9607676320000006E-3</v>
      </c>
      <c r="CK122">
        <v>2.704903497E-3</v>
      </c>
      <c r="CL122">
        <v>9.7176025062000002E-4</v>
      </c>
      <c r="CM122" s="2">
        <v>1.3954519598399999E-7</v>
      </c>
      <c r="CN122">
        <v>2.0544382358700002</v>
      </c>
      <c r="CO122">
        <v>175.52936395702</v>
      </c>
      <c r="CP122">
        <v>0.35810722677769002</v>
      </c>
      <c r="CQ122">
        <v>0.35810722677769002</v>
      </c>
      <c r="CR122">
        <v>0</v>
      </c>
      <c r="CS122">
        <v>9.0468158772386998E-3</v>
      </c>
      <c r="CT122">
        <v>9.0468158772386998E-3</v>
      </c>
      <c r="CU122">
        <v>0</v>
      </c>
      <c r="CV122">
        <v>2.444507234878E-2</v>
      </c>
      <c r="CW122">
        <v>2.444507234878E-2</v>
      </c>
      <c r="CX122">
        <v>0</v>
      </c>
      <c r="CY122">
        <v>1.6689166097633E-4</v>
      </c>
      <c r="CZ122" s="2">
        <v>5.0378031875630002E-5</v>
      </c>
      <c r="DA122" s="2">
        <v>1.8098748785493E-5</v>
      </c>
      <c r="DB122" s="2">
        <v>2.5989882223783E-9</v>
      </c>
    </row>
    <row r="123" spans="1:106" x14ac:dyDescent="0.25">
      <c r="A123">
        <v>25868</v>
      </c>
      <c r="B123" t="s">
        <v>284</v>
      </c>
      <c r="C123">
        <v>50</v>
      </c>
      <c r="D123" t="s">
        <v>261</v>
      </c>
      <c r="E123">
        <v>2</v>
      </c>
      <c r="F123" t="s">
        <v>167</v>
      </c>
      <c r="G123">
        <v>31799.16</v>
      </c>
      <c r="H123" t="s">
        <v>0</v>
      </c>
      <c r="I123">
        <v>4</v>
      </c>
      <c r="J123">
        <v>31799.16</v>
      </c>
      <c r="L123">
        <v>92117.401014000003</v>
      </c>
      <c r="O123">
        <v>796835</v>
      </c>
      <c r="P123" t="s">
        <v>295</v>
      </c>
      <c r="Q123">
        <v>118</v>
      </c>
      <c r="R123" t="s">
        <v>262</v>
      </c>
      <c r="S123" t="s">
        <v>263</v>
      </c>
      <c r="T123">
        <v>592.25</v>
      </c>
      <c r="V123">
        <v>2142718762</v>
      </c>
      <c r="W123" t="s">
        <v>298</v>
      </c>
      <c r="Y123">
        <v>1.9000000000000001E-4</v>
      </c>
      <c r="AF123" t="s">
        <v>67</v>
      </c>
      <c r="AG123" t="s">
        <v>68</v>
      </c>
      <c r="AH123" s="1">
        <v>1</v>
      </c>
      <c r="AI123">
        <v>1.9000000000000001E-4</v>
      </c>
      <c r="AJ123">
        <v>1250</v>
      </c>
      <c r="AK123">
        <v>0.23749999999999999</v>
      </c>
      <c r="AM123">
        <v>0.23749999999999999</v>
      </c>
      <c r="AN123">
        <v>140.65937500000001</v>
      </c>
      <c r="AO123">
        <v>4.4233676298368E-3</v>
      </c>
      <c r="AP123" t="s">
        <v>0</v>
      </c>
      <c r="AQ123" t="s">
        <v>264</v>
      </c>
      <c r="AR123">
        <v>30358</v>
      </c>
      <c r="AS123" t="s">
        <v>265</v>
      </c>
      <c r="AT123">
        <v>7</v>
      </c>
      <c r="AU123">
        <v>1</v>
      </c>
      <c r="AV123" t="s">
        <v>266</v>
      </c>
      <c r="AW123">
        <v>0</v>
      </c>
      <c r="AX123">
        <v>100</v>
      </c>
      <c r="AY123">
        <v>35</v>
      </c>
      <c r="AZ123" t="s">
        <v>289</v>
      </c>
      <c r="BA123">
        <v>100</v>
      </c>
      <c r="BC123">
        <v>5</v>
      </c>
      <c r="BE123">
        <v>5</v>
      </c>
      <c r="BG123">
        <v>0</v>
      </c>
      <c r="BH123">
        <v>100</v>
      </c>
      <c r="BI123">
        <v>0</v>
      </c>
      <c r="BK123">
        <v>551.87888999999996</v>
      </c>
      <c r="BL123">
        <v>551.87888999999996</v>
      </c>
      <c r="BM123">
        <v>0</v>
      </c>
      <c r="BN123">
        <v>57.879454000000003</v>
      </c>
      <c r="BO123">
        <v>57.879454000000003</v>
      </c>
      <c r="BP123">
        <v>0</v>
      </c>
      <c r="BQ123">
        <v>33.434156999999999</v>
      </c>
      <c r="BR123">
        <v>33.490157000000004</v>
      </c>
      <c r="BS123">
        <v>-5.6000000000000001E-2</v>
      </c>
      <c r="BT123">
        <v>0.15700528</v>
      </c>
      <c r="BU123">
        <v>9.3272171000000001E-2</v>
      </c>
      <c r="BV123">
        <v>1.0878103E-2</v>
      </c>
      <c r="BW123" s="2">
        <v>1.7946424E-6</v>
      </c>
      <c r="BX123">
        <v>0</v>
      </c>
      <c r="BY123">
        <v>0</v>
      </c>
      <c r="BZ123">
        <v>6</v>
      </c>
      <c r="CA123">
        <v>131.07123637500001</v>
      </c>
      <c r="CB123">
        <v>131.07123637500001</v>
      </c>
      <c r="CC123">
        <v>0</v>
      </c>
      <c r="CD123">
        <v>13.746370324999999</v>
      </c>
      <c r="CE123">
        <v>13.746370324999999</v>
      </c>
      <c r="CF123">
        <v>0</v>
      </c>
      <c r="CG123">
        <v>7.9406122874999996</v>
      </c>
      <c r="CH123">
        <v>7.9539122874999997</v>
      </c>
      <c r="CI123">
        <v>-1.3299999999999999E-2</v>
      </c>
      <c r="CJ123">
        <v>3.7288754E-2</v>
      </c>
      <c r="CK123">
        <v>2.2152140612499999E-2</v>
      </c>
      <c r="CL123">
        <v>2.5835494625000002E-3</v>
      </c>
      <c r="CM123" s="2">
        <v>4.2622757E-7</v>
      </c>
      <c r="CN123">
        <v>10.664310460416999</v>
      </c>
      <c r="CO123">
        <v>175.52936395702</v>
      </c>
      <c r="CP123">
        <v>2.4411632176162001</v>
      </c>
      <c r="CQ123">
        <v>2.4411632176162001</v>
      </c>
      <c r="CR123">
        <v>0</v>
      </c>
      <c r="CS123">
        <v>0.25602210325622998</v>
      </c>
      <c r="CT123">
        <v>0.25602210325622998</v>
      </c>
      <c r="CU123">
        <v>0</v>
      </c>
      <c r="CV123">
        <v>0.14789156780467999</v>
      </c>
      <c r="CW123">
        <v>0.14813927639194999</v>
      </c>
      <c r="CX123">
        <v>-2.4770858727086E-4</v>
      </c>
      <c r="CY123">
        <v>6.9449207326546E-4</v>
      </c>
      <c r="CZ123">
        <v>4.1257710196600001E-4</v>
      </c>
      <c r="DA123" s="2">
        <v>4.8117848684230003E-5</v>
      </c>
      <c r="DB123" s="2">
        <v>7.9383630992925997E-9</v>
      </c>
    </row>
    <row r="124" spans="1:106" x14ac:dyDescent="0.25">
      <c r="A124">
        <v>25868</v>
      </c>
      <c r="B124" t="s">
        <v>284</v>
      </c>
      <c r="C124">
        <v>50</v>
      </c>
      <c r="D124" t="s">
        <v>261</v>
      </c>
      <c r="E124">
        <v>2</v>
      </c>
      <c r="F124" t="s">
        <v>167</v>
      </c>
      <c r="G124">
        <v>31799.16</v>
      </c>
      <c r="H124" t="s">
        <v>0</v>
      </c>
      <c r="I124">
        <v>4</v>
      </c>
      <c r="J124">
        <v>31799.16</v>
      </c>
      <c r="L124">
        <v>92117.401014000003</v>
      </c>
      <c r="O124">
        <v>796835</v>
      </c>
      <c r="P124" t="s">
        <v>295</v>
      </c>
      <c r="Q124">
        <v>118</v>
      </c>
      <c r="R124" t="s">
        <v>262</v>
      </c>
      <c r="S124" t="s">
        <v>263</v>
      </c>
      <c r="T124">
        <v>592.25</v>
      </c>
      <c r="W124" t="s">
        <v>16</v>
      </c>
      <c r="Y124">
        <v>0.3</v>
      </c>
      <c r="AF124" t="s">
        <v>67</v>
      </c>
      <c r="AG124" t="s">
        <v>68</v>
      </c>
      <c r="AH124" s="1">
        <v>1</v>
      </c>
      <c r="AI124">
        <v>0.3</v>
      </c>
      <c r="AJ124">
        <v>2325</v>
      </c>
      <c r="AK124">
        <v>697.5</v>
      </c>
      <c r="AM124">
        <v>697.5</v>
      </c>
      <c r="AN124">
        <v>413094.375</v>
      </c>
      <c r="AO124">
        <v>12.990732302363</v>
      </c>
      <c r="AP124" t="s">
        <v>0</v>
      </c>
      <c r="AQ124" t="s">
        <v>264</v>
      </c>
      <c r="AR124">
        <v>30358</v>
      </c>
      <c r="AS124" t="s">
        <v>265</v>
      </c>
      <c r="AT124">
        <v>8</v>
      </c>
      <c r="AU124">
        <v>1</v>
      </c>
      <c r="AV124" t="s">
        <v>266</v>
      </c>
      <c r="AW124">
        <v>0</v>
      </c>
      <c r="AX124">
        <v>100</v>
      </c>
      <c r="AY124">
        <v>100</v>
      </c>
      <c r="AZ124" t="s">
        <v>267</v>
      </c>
      <c r="BA124">
        <v>100</v>
      </c>
      <c r="BK124">
        <v>1.5660049</v>
      </c>
      <c r="BL124">
        <v>1.5660049</v>
      </c>
      <c r="BM124">
        <v>0</v>
      </c>
      <c r="BN124">
        <v>4.7475960999999997E-2</v>
      </c>
      <c r="BO124">
        <v>4.7475960999999997E-2</v>
      </c>
      <c r="BP124">
        <v>0</v>
      </c>
      <c r="BQ124">
        <v>0.15291231999999999</v>
      </c>
      <c r="BR124">
        <v>0.15291231999999999</v>
      </c>
      <c r="BS124">
        <v>0</v>
      </c>
      <c r="BT124">
        <v>3.9132148000000001E-4</v>
      </c>
      <c r="BU124">
        <v>2.4656103E-4</v>
      </c>
      <c r="BV124" s="2">
        <v>7.7190705E-5</v>
      </c>
      <c r="BW124" s="2">
        <v>4.5130751999999996E-9</v>
      </c>
      <c r="BX124">
        <v>0</v>
      </c>
      <c r="BY124">
        <v>0</v>
      </c>
      <c r="BZ124">
        <v>6</v>
      </c>
      <c r="CA124">
        <v>1092.28841775</v>
      </c>
      <c r="CB124">
        <v>1092.28841775</v>
      </c>
      <c r="CC124">
        <v>0</v>
      </c>
      <c r="CD124">
        <v>33.114482797500003</v>
      </c>
      <c r="CE124">
        <v>33.114482797500003</v>
      </c>
      <c r="CF124">
        <v>0</v>
      </c>
      <c r="CG124">
        <v>106.65634319999999</v>
      </c>
      <c r="CH124">
        <v>106.65634319999999</v>
      </c>
      <c r="CI124">
        <v>0</v>
      </c>
      <c r="CJ124">
        <v>0.27294673229999999</v>
      </c>
      <c r="CK124">
        <v>0.171976318425</v>
      </c>
      <c r="CL124">
        <v>5.3840516737499997E-2</v>
      </c>
      <c r="CM124" s="2">
        <v>3.1478699519999998E-6</v>
      </c>
      <c r="CN124">
        <v>90.578568765</v>
      </c>
      <c r="CO124">
        <v>175.52936395702</v>
      </c>
      <c r="CP124">
        <v>20.343550440087999</v>
      </c>
      <c r="CQ124">
        <v>20.343550440087999</v>
      </c>
      <c r="CR124">
        <v>0</v>
      </c>
      <c r="CS124">
        <v>0.61674750014840996</v>
      </c>
      <c r="CT124">
        <v>0.61674750014840996</v>
      </c>
      <c r="CU124">
        <v>0</v>
      </c>
      <c r="CV124">
        <v>1.9864430148532</v>
      </c>
      <c r="CW124">
        <v>1.9864430148532</v>
      </c>
      <c r="CX124">
        <v>0</v>
      </c>
      <c r="CY124">
        <v>5.0835525908444002E-3</v>
      </c>
      <c r="CZ124">
        <v>3.2030083369247999E-3</v>
      </c>
      <c r="DA124">
        <v>1.0027637848857001E-3</v>
      </c>
      <c r="DB124" s="2">
        <v>5.8628151783632001E-8</v>
      </c>
    </row>
    <row r="125" spans="1:106" x14ac:dyDescent="0.25">
      <c r="A125">
        <v>25868</v>
      </c>
      <c r="B125" t="s">
        <v>284</v>
      </c>
      <c r="C125">
        <v>50</v>
      </c>
      <c r="D125" t="s">
        <v>261</v>
      </c>
      <c r="E125">
        <v>2</v>
      </c>
      <c r="F125" t="s">
        <v>167</v>
      </c>
      <c r="G125">
        <v>31799.16</v>
      </c>
      <c r="H125" t="s">
        <v>0</v>
      </c>
      <c r="I125">
        <v>4</v>
      </c>
      <c r="J125">
        <v>31799.16</v>
      </c>
      <c r="L125">
        <v>92117.401014000003</v>
      </c>
      <c r="O125">
        <v>796835</v>
      </c>
      <c r="P125" t="s">
        <v>295</v>
      </c>
      <c r="Q125">
        <v>118</v>
      </c>
      <c r="R125" t="s">
        <v>262</v>
      </c>
      <c r="S125" t="s">
        <v>263</v>
      </c>
      <c r="T125">
        <v>592.25</v>
      </c>
      <c r="V125">
        <v>2142719798</v>
      </c>
      <c r="W125" t="s">
        <v>49</v>
      </c>
      <c r="Y125">
        <v>8.8000000000000005E-3</v>
      </c>
      <c r="AF125" t="s">
        <v>67</v>
      </c>
      <c r="AG125" t="s">
        <v>68</v>
      </c>
      <c r="AH125" s="1">
        <v>1</v>
      </c>
      <c r="AI125">
        <v>8.8000000000000005E-3</v>
      </c>
      <c r="AJ125">
        <v>300</v>
      </c>
      <c r="AK125">
        <v>2.64</v>
      </c>
      <c r="AM125">
        <v>2.64</v>
      </c>
      <c r="AN125">
        <v>1563.54</v>
      </c>
      <c r="AO125">
        <v>4.9169223337975E-2</v>
      </c>
      <c r="AP125" t="s">
        <v>0</v>
      </c>
      <c r="AQ125" t="s">
        <v>264</v>
      </c>
      <c r="AR125">
        <v>30358</v>
      </c>
      <c r="AS125" t="s">
        <v>265</v>
      </c>
      <c r="AT125">
        <v>9</v>
      </c>
      <c r="AU125">
        <v>1</v>
      </c>
      <c r="AV125" t="s">
        <v>266</v>
      </c>
      <c r="AW125">
        <v>0</v>
      </c>
      <c r="AX125">
        <v>100</v>
      </c>
      <c r="AY125">
        <v>25</v>
      </c>
      <c r="AZ125" t="s">
        <v>286</v>
      </c>
      <c r="BA125">
        <v>100</v>
      </c>
      <c r="BC125">
        <v>3</v>
      </c>
      <c r="BE125">
        <v>3</v>
      </c>
      <c r="BG125">
        <v>0</v>
      </c>
      <c r="BH125">
        <v>100</v>
      </c>
      <c r="BI125">
        <v>0</v>
      </c>
      <c r="BK125">
        <v>85.988403000000005</v>
      </c>
      <c r="BL125">
        <v>43.518402999999999</v>
      </c>
      <c r="BM125">
        <v>42.47</v>
      </c>
      <c r="BN125">
        <v>1.3022769000000001</v>
      </c>
      <c r="BO125">
        <v>1.3022769000000001</v>
      </c>
      <c r="BP125">
        <v>0</v>
      </c>
      <c r="BQ125">
        <v>2.8430924000000002</v>
      </c>
      <c r="BR125">
        <v>2.8640924000000001</v>
      </c>
      <c r="BS125">
        <v>-2.1000000000000001E-2</v>
      </c>
      <c r="BT125">
        <v>8.3217996000000006E-3</v>
      </c>
      <c r="BU125">
        <v>1.6064606999999999E-3</v>
      </c>
      <c r="BV125">
        <v>2.4785428000000001E-3</v>
      </c>
      <c r="BW125" s="2">
        <v>3.9116873999999998E-8</v>
      </c>
      <c r="BX125">
        <v>0</v>
      </c>
      <c r="BY125">
        <v>0</v>
      </c>
      <c r="BZ125">
        <v>6</v>
      </c>
      <c r="CA125">
        <v>227.00938392</v>
      </c>
      <c r="CB125">
        <v>114.88858392</v>
      </c>
      <c r="CC125">
        <v>112.1208</v>
      </c>
      <c r="CD125">
        <v>3.4380110159999999</v>
      </c>
      <c r="CE125">
        <v>3.4380110159999999</v>
      </c>
      <c r="CF125">
        <v>0</v>
      </c>
      <c r="CG125">
        <v>7.5057639360000001</v>
      </c>
      <c r="CH125">
        <v>7.5612039360000001</v>
      </c>
      <c r="CI125">
        <v>-5.5440000000000003E-2</v>
      </c>
      <c r="CJ125">
        <v>2.1969550944000001E-2</v>
      </c>
      <c r="CK125">
        <v>4.2410562479999999E-3</v>
      </c>
      <c r="CL125">
        <v>6.543352992E-3</v>
      </c>
      <c r="CM125" s="2">
        <v>1.0326854736E-7</v>
      </c>
      <c r="CN125">
        <v>11.7472135792</v>
      </c>
      <c r="CO125">
        <v>175.52936395702</v>
      </c>
      <c r="CP125">
        <v>4.2279829915827998</v>
      </c>
      <c r="CQ125">
        <v>2.1397660764189999</v>
      </c>
      <c r="CR125">
        <v>2.0882169151637999</v>
      </c>
      <c r="CS125">
        <v>6.4031943743986006E-2</v>
      </c>
      <c r="CT125">
        <v>6.4031943743986006E-2</v>
      </c>
      <c r="CU125">
        <v>0</v>
      </c>
      <c r="CV125">
        <v>0.13979264518609999</v>
      </c>
      <c r="CW125">
        <v>0.14082519887619999</v>
      </c>
      <c r="CX125">
        <v>-1.0325536900975001E-3</v>
      </c>
      <c r="CY125">
        <v>4.0917642310626999E-4</v>
      </c>
      <c r="CZ125" s="2">
        <v>7.8988424941979997E-5</v>
      </c>
      <c r="DA125">
        <v>1.2186802448593E-4</v>
      </c>
      <c r="DB125" s="2">
        <v>1.9233463139894002E-9</v>
      </c>
    </row>
    <row r="126" spans="1:106" x14ac:dyDescent="0.25">
      <c r="A126">
        <v>25868</v>
      </c>
      <c r="B126" t="s">
        <v>284</v>
      </c>
      <c r="C126">
        <v>50</v>
      </c>
      <c r="D126" t="s">
        <v>261</v>
      </c>
      <c r="E126">
        <v>2</v>
      </c>
      <c r="F126" t="s">
        <v>167</v>
      </c>
      <c r="G126">
        <v>31799.16</v>
      </c>
      <c r="H126" t="s">
        <v>0</v>
      </c>
      <c r="I126">
        <v>4</v>
      </c>
      <c r="J126">
        <v>31799.16</v>
      </c>
      <c r="L126">
        <v>92117.401014000003</v>
      </c>
      <c r="O126">
        <v>796835</v>
      </c>
      <c r="P126" t="s">
        <v>295</v>
      </c>
      <c r="Q126">
        <v>118</v>
      </c>
      <c r="R126" t="s">
        <v>262</v>
      </c>
      <c r="S126" t="s">
        <v>263</v>
      </c>
      <c r="T126">
        <v>592.25</v>
      </c>
      <c r="V126">
        <v>2142702349</v>
      </c>
      <c r="W126" t="s">
        <v>299</v>
      </c>
      <c r="Y126">
        <v>0.15</v>
      </c>
      <c r="AF126" t="s">
        <v>67</v>
      </c>
      <c r="AG126" t="s">
        <v>68</v>
      </c>
      <c r="AH126" s="1">
        <v>1</v>
      </c>
      <c r="AI126">
        <v>0.15</v>
      </c>
      <c r="AJ126">
        <v>30</v>
      </c>
      <c r="AK126">
        <v>4.5</v>
      </c>
      <c r="AM126">
        <v>4.5</v>
      </c>
      <c r="AN126">
        <v>2665.125</v>
      </c>
      <c r="AO126">
        <v>8.3811176144275995E-2</v>
      </c>
      <c r="AP126" t="s">
        <v>0</v>
      </c>
      <c r="AQ126" t="s">
        <v>264</v>
      </c>
      <c r="AR126">
        <v>30358</v>
      </c>
      <c r="AS126" t="s">
        <v>265</v>
      </c>
      <c r="AT126">
        <v>10</v>
      </c>
      <c r="AU126">
        <v>1</v>
      </c>
      <c r="AV126" t="s">
        <v>266</v>
      </c>
      <c r="AW126">
        <v>0</v>
      </c>
      <c r="AX126">
        <v>100</v>
      </c>
      <c r="AY126">
        <v>50</v>
      </c>
      <c r="AZ126" t="s">
        <v>285</v>
      </c>
      <c r="BA126">
        <v>100</v>
      </c>
      <c r="BC126">
        <v>4</v>
      </c>
      <c r="BE126">
        <v>4</v>
      </c>
      <c r="BG126">
        <v>0</v>
      </c>
      <c r="BH126">
        <v>100</v>
      </c>
      <c r="BI126">
        <v>0</v>
      </c>
      <c r="BK126">
        <v>93.564520999999999</v>
      </c>
      <c r="BL126">
        <v>53.564520999999999</v>
      </c>
      <c r="BM126">
        <v>40</v>
      </c>
      <c r="BN126">
        <v>0.87851628000000004</v>
      </c>
      <c r="BO126">
        <v>0.87851628000000004</v>
      </c>
      <c r="BP126">
        <v>0</v>
      </c>
      <c r="BQ126">
        <v>4.2353810000000003</v>
      </c>
      <c r="BR126">
        <v>4.2353810000000003</v>
      </c>
      <c r="BS126">
        <v>0</v>
      </c>
      <c r="BT126">
        <v>1.5538751999999999E-2</v>
      </c>
      <c r="BU126">
        <v>2.5722509999999998E-3</v>
      </c>
      <c r="BV126">
        <v>8.1632105000000003E-3</v>
      </c>
      <c r="BW126" s="2">
        <v>6.1317667000000003E-8</v>
      </c>
      <c r="BX126">
        <v>0</v>
      </c>
      <c r="BY126">
        <v>0</v>
      </c>
      <c r="BZ126">
        <v>6</v>
      </c>
      <c r="CA126">
        <v>421.0403445</v>
      </c>
      <c r="CB126">
        <v>241.0403445</v>
      </c>
      <c r="CC126">
        <v>180</v>
      </c>
      <c r="CD126">
        <v>3.9533232599999999</v>
      </c>
      <c r="CE126">
        <v>3.9533232599999999</v>
      </c>
      <c r="CF126">
        <v>0</v>
      </c>
      <c r="CG126">
        <v>19.0592145</v>
      </c>
      <c r="CH126">
        <v>19.0592145</v>
      </c>
      <c r="CI126">
        <v>0</v>
      </c>
      <c r="CJ126">
        <v>6.9924384000000006E-2</v>
      </c>
      <c r="CK126">
        <v>1.15751295E-2</v>
      </c>
      <c r="CL126">
        <v>3.6734447250000003E-2</v>
      </c>
      <c r="CM126" s="2">
        <v>2.759295015E-7</v>
      </c>
      <c r="CN126">
        <v>26.534465099999998</v>
      </c>
      <c r="CO126">
        <v>175.52936395702</v>
      </c>
      <c r="CP126">
        <v>7.8417525503857997</v>
      </c>
      <c r="CQ126">
        <v>4.4893055046147001</v>
      </c>
      <c r="CR126">
        <v>3.3524470457710001</v>
      </c>
      <c r="CS126">
        <v>7.3629482688694001E-2</v>
      </c>
      <c r="CT126">
        <v>7.3629482688694001E-2</v>
      </c>
      <c r="CU126">
        <v>0</v>
      </c>
      <c r="CV126">
        <v>0.35497226302911999</v>
      </c>
      <c r="CW126">
        <v>0.35497226302911999</v>
      </c>
      <c r="CX126">
        <v>0</v>
      </c>
      <c r="CY126">
        <v>1.3023210809342E-3</v>
      </c>
      <c r="CZ126">
        <v>2.1558338164829E-4</v>
      </c>
      <c r="DA126">
        <v>6.8416827311829998E-4</v>
      </c>
      <c r="DB126" s="2">
        <v>5.1391057896929999E-9</v>
      </c>
    </row>
    <row r="127" spans="1:106" x14ac:dyDescent="0.25">
      <c r="A127">
        <v>25868</v>
      </c>
      <c r="B127" t="s">
        <v>284</v>
      </c>
      <c r="C127">
        <v>50</v>
      </c>
      <c r="D127" t="s">
        <v>261</v>
      </c>
      <c r="E127">
        <v>2</v>
      </c>
      <c r="F127" t="s">
        <v>167</v>
      </c>
      <c r="G127">
        <v>31799.16</v>
      </c>
      <c r="H127" t="s">
        <v>0</v>
      </c>
      <c r="I127">
        <v>4</v>
      </c>
      <c r="J127">
        <v>31799.16</v>
      </c>
      <c r="L127">
        <v>92117.401014000003</v>
      </c>
      <c r="O127">
        <v>796843</v>
      </c>
      <c r="P127" t="s">
        <v>69</v>
      </c>
      <c r="Q127">
        <v>101</v>
      </c>
      <c r="R127" t="s">
        <v>262</v>
      </c>
      <c r="S127" t="s">
        <v>263</v>
      </c>
      <c r="T127">
        <v>2146</v>
      </c>
      <c r="W127" t="s">
        <v>16</v>
      </c>
      <c r="Y127">
        <v>0.25</v>
      </c>
      <c r="AF127" t="s">
        <v>70</v>
      </c>
      <c r="AG127" t="s">
        <v>6</v>
      </c>
      <c r="AH127" s="1">
        <v>1</v>
      </c>
      <c r="AI127">
        <v>0.25</v>
      </c>
      <c r="AJ127">
        <v>2325</v>
      </c>
      <c r="AK127">
        <v>581.25</v>
      </c>
      <c r="AM127">
        <v>581.25</v>
      </c>
      <c r="AN127">
        <v>1247362.5</v>
      </c>
      <c r="AO127">
        <v>39.226272014731997</v>
      </c>
      <c r="AP127" t="s">
        <v>0</v>
      </c>
      <c r="AQ127" t="s">
        <v>264</v>
      </c>
      <c r="AR127">
        <v>30358</v>
      </c>
      <c r="AS127" t="s">
        <v>265</v>
      </c>
      <c r="AT127">
        <v>1</v>
      </c>
      <c r="AU127">
        <v>1</v>
      </c>
      <c r="AV127" t="s">
        <v>266</v>
      </c>
      <c r="AW127">
        <v>0</v>
      </c>
      <c r="AX127">
        <v>100</v>
      </c>
      <c r="AY127">
        <v>100</v>
      </c>
      <c r="AZ127" t="s">
        <v>267</v>
      </c>
      <c r="BK127">
        <v>1.5660049</v>
      </c>
      <c r="BL127">
        <v>1.5660049</v>
      </c>
      <c r="BM127">
        <v>0</v>
      </c>
      <c r="BN127">
        <v>4.7475960999999997E-2</v>
      </c>
      <c r="BO127">
        <v>4.7475960999999997E-2</v>
      </c>
      <c r="BP127">
        <v>0</v>
      </c>
      <c r="BQ127">
        <v>0.15291231999999999</v>
      </c>
      <c r="BR127">
        <v>0.15291231999999999</v>
      </c>
      <c r="BS127">
        <v>0</v>
      </c>
      <c r="BT127">
        <v>3.9132148000000001E-4</v>
      </c>
      <c r="BU127">
        <v>2.4656103E-4</v>
      </c>
      <c r="BV127" s="2">
        <v>7.7190705E-5</v>
      </c>
      <c r="BW127" s="2">
        <v>4.5130751999999996E-9</v>
      </c>
      <c r="BX127">
        <v>0</v>
      </c>
      <c r="BY127">
        <v>0</v>
      </c>
      <c r="BZ127">
        <v>6</v>
      </c>
      <c r="CA127">
        <v>910.24034812499997</v>
      </c>
      <c r="CB127">
        <v>910.24034812499997</v>
      </c>
      <c r="CC127">
        <v>0</v>
      </c>
      <c r="CD127">
        <v>27.59540233125</v>
      </c>
      <c r="CE127">
        <v>27.59540233125</v>
      </c>
      <c r="CF127">
        <v>0</v>
      </c>
      <c r="CG127">
        <v>88.880285999999998</v>
      </c>
      <c r="CH127">
        <v>88.880285999999998</v>
      </c>
      <c r="CI127">
        <v>0</v>
      </c>
      <c r="CJ127">
        <v>0.22745561025</v>
      </c>
      <c r="CK127">
        <v>0.14331359868749999</v>
      </c>
      <c r="CL127">
        <v>4.4867097281249997E-2</v>
      </c>
      <c r="CM127" s="2">
        <v>2.6232249600000001E-6</v>
      </c>
      <c r="CN127">
        <v>75.482140637499995</v>
      </c>
      <c r="CO127">
        <v>39.148807304167001</v>
      </c>
      <c r="CP127">
        <v>61.428534183803997</v>
      </c>
      <c r="CQ127">
        <v>61.428534183803997</v>
      </c>
      <c r="CR127">
        <v>0</v>
      </c>
      <c r="CS127">
        <v>1.8623049603468</v>
      </c>
      <c r="CT127">
        <v>1.8623049603468</v>
      </c>
      <c r="CU127">
        <v>0</v>
      </c>
      <c r="CV127">
        <v>5.9981802587238002</v>
      </c>
      <c r="CW127">
        <v>5.9981802587238002</v>
      </c>
      <c r="CX127">
        <v>0</v>
      </c>
      <c r="CY127">
        <v>1.5350082819688001E-2</v>
      </c>
      <c r="CZ127">
        <v>9.6716700310126007E-3</v>
      </c>
      <c r="DA127">
        <v>3.0279035913390001E-3</v>
      </c>
      <c r="DB127" s="2">
        <v>1.7703111541814E-7</v>
      </c>
    </row>
    <row r="128" spans="1:106" x14ac:dyDescent="0.25">
      <c r="A128">
        <v>25868</v>
      </c>
      <c r="B128" t="s">
        <v>284</v>
      </c>
      <c r="C128">
        <v>50</v>
      </c>
      <c r="D128" t="s">
        <v>261</v>
      </c>
      <c r="E128">
        <v>2</v>
      </c>
      <c r="F128" t="s">
        <v>167</v>
      </c>
      <c r="G128">
        <v>31799.16</v>
      </c>
      <c r="H128" t="s">
        <v>0</v>
      </c>
      <c r="I128">
        <v>4</v>
      </c>
      <c r="J128">
        <v>31799.16</v>
      </c>
      <c r="L128">
        <v>92117.401014000003</v>
      </c>
      <c r="O128">
        <v>796838</v>
      </c>
      <c r="P128" t="s">
        <v>300</v>
      </c>
      <c r="Q128">
        <v>118</v>
      </c>
      <c r="R128" t="s">
        <v>262</v>
      </c>
      <c r="S128" t="s">
        <v>263</v>
      </c>
      <c r="T128">
        <v>13780</v>
      </c>
      <c r="W128" t="s">
        <v>16</v>
      </c>
      <c r="Y128">
        <v>0.6</v>
      </c>
      <c r="AF128" t="s">
        <v>67</v>
      </c>
      <c r="AG128" t="s">
        <v>68</v>
      </c>
      <c r="AH128" s="1">
        <v>1</v>
      </c>
      <c r="AI128">
        <v>0.6</v>
      </c>
      <c r="AJ128">
        <v>2325</v>
      </c>
      <c r="AK128">
        <v>1395</v>
      </c>
      <c r="AM128">
        <v>1395</v>
      </c>
      <c r="AN128">
        <v>19223100</v>
      </c>
      <c r="AO128">
        <v>604.51596834633006</v>
      </c>
      <c r="AP128" t="s">
        <v>0</v>
      </c>
      <c r="AQ128" t="s">
        <v>264</v>
      </c>
      <c r="AR128">
        <v>30358</v>
      </c>
      <c r="AS128" t="s">
        <v>265</v>
      </c>
      <c r="AT128">
        <v>1</v>
      </c>
      <c r="AU128">
        <v>1</v>
      </c>
      <c r="AV128" t="s">
        <v>266</v>
      </c>
      <c r="AW128">
        <v>0</v>
      </c>
      <c r="AX128">
        <v>100</v>
      </c>
      <c r="AY128">
        <v>100</v>
      </c>
      <c r="AZ128" t="s">
        <v>267</v>
      </c>
      <c r="BK128">
        <v>1.5660049</v>
      </c>
      <c r="BL128">
        <v>1.5660049</v>
      </c>
      <c r="BM128">
        <v>0</v>
      </c>
      <c r="BN128">
        <v>4.7475960999999997E-2</v>
      </c>
      <c r="BO128">
        <v>4.7475960999999997E-2</v>
      </c>
      <c r="BP128">
        <v>0</v>
      </c>
      <c r="BQ128">
        <v>0.15291231999999999</v>
      </c>
      <c r="BR128">
        <v>0.15291231999999999</v>
      </c>
      <c r="BS128">
        <v>0</v>
      </c>
      <c r="BT128">
        <v>3.9132148000000001E-4</v>
      </c>
      <c r="BU128">
        <v>2.4656103E-4</v>
      </c>
      <c r="BV128" s="2">
        <v>7.7190705E-5</v>
      </c>
      <c r="BW128" s="2">
        <v>4.5130751999999996E-9</v>
      </c>
      <c r="BX128">
        <v>0</v>
      </c>
      <c r="BY128">
        <v>0</v>
      </c>
      <c r="BZ128">
        <v>6</v>
      </c>
      <c r="CA128">
        <v>2184.5768355</v>
      </c>
      <c r="CB128">
        <v>2184.5768355</v>
      </c>
      <c r="CC128">
        <v>0</v>
      </c>
      <c r="CD128">
        <v>66.228965595000005</v>
      </c>
      <c r="CE128">
        <v>66.228965595000005</v>
      </c>
      <c r="CF128">
        <v>0</v>
      </c>
      <c r="CG128">
        <v>213.31268639999999</v>
      </c>
      <c r="CH128">
        <v>213.31268639999999</v>
      </c>
      <c r="CI128">
        <v>0</v>
      </c>
      <c r="CJ128">
        <v>0.54589346459999999</v>
      </c>
      <c r="CK128">
        <v>0.34395263684999999</v>
      </c>
      <c r="CL128">
        <v>0.10768103347499999</v>
      </c>
      <c r="CM128" s="2">
        <v>6.2957399039999996E-6</v>
      </c>
      <c r="CN128">
        <v>181.15713753</v>
      </c>
      <c r="CO128">
        <v>144.82380419667001</v>
      </c>
      <c r="CP128">
        <v>946.67496855859997</v>
      </c>
      <c r="CQ128">
        <v>946.67496855859997</v>
      </c>
      <c r="CR128">
        <v>0</v>
      </c>
      <c r="CS128">
        <v>28.699976537087998</v>
      </c>
      <c r="CT128">
        <v>28.699976537087998</v>
      </c>
      <c r="CU128">
        <v>0</v>
      </c>
      <c r="CV128">
        <v>92.437939196884003</v>
      </c>
      <c r="CW128">
        <v>92.437939196884003</v>
      </c>
      <c r="CX128">
        <v>0</v>
      </c>
      <c r="CY128">
        <v>0.23656008341692</v>
      </c>
      <c r="CZ128">
        <v>0.14905007980692001</v>
      </c>
      <c r="DA128">
        <v>4.6663013780411003E-2</v>
      </c>
      <c r="DB128" s="2">
        <v>2.7282260247478E-6</v>
      </c>
    </row>
    <row r="129" spans="1:106" x14ac:dyDescent="0.25">
      <c r="A129">
        <v>25868</v>
      </c>
      <c r="B129" t="s">
        <v>284</v>
      </c>
      <c r="C129">
        <v>50</v>
      </c>
      <c r="D129" t="s">
        <v>261</v>
      </c>
      <c r="E129">
        <v>2</v>
      </c>
      <c r="F129" t="s">
        <v>167</v>
      </c>
      <c r="G129">
        <v>31799.16</v>
      </c>
      <c r="H129" t="s">
        <v>0</v>
      </c>
      <c r="I129">
        <v>4</v>
      </c>
      <c r="J129">
        <v>31799.16</v>
      </c>
      <c r="L129">
        <v>92117.401014000003</v>
      </c>
      <c r="O129">
        <v>796850</v>
      </c>
      <c r="P129" t="s">
        <v>71</v>
      </c>
      <c r="Q129">
        <v>101</v>
      </c>
      <c r="R129" t="s">
        <v>262</v>
      </c>
      <c r="S129" t="s">
        <v>263</v>
      </c>
      <c r="T129">
        <v>1181</v>
      </c>
      <c r="W129" t="s">
        <v>72</v>
      </c>
      <c r="Y129">
        <v>1.4999999999999999E-2</v>
      </c>
      <c r="AF129" t="s">
        <v>70</v>
      </c>
      <c r="AG129" t="s">
        <v>6</v>
      </c>
      <c r="AH129" s="1">
        <v>1</v>
      </c>
      <c r="AI129">
        <v>1.4999999999999999E-2</v>
      </c>
      <c r="AJ129">
        <v>2500</v>
      </c>
      <c r="AK129">
        <v>37.5</v>
      </c>
      <c r="AM129">
        <v>37.5</v>
      </c>
      <c r="AN129">
        <v>44287.5</v>
      </c>
      <c r="AO129">
        <v>1.3927254682199</v>
      </c>
      <c r="AP129" t="s">
        <v>0</v>
      </c>
      <c r="AQ129" t="s">
        <v>264</v>
      </c>
      <c r="AR129">
        <v>30358</v>
      </c>
      <c r="AS129" t="s">
        <v>265</v>
      </c>
      <c r="AT129">
        <v>1</v>
      </c>
      <c r="AU129">
        <v>1</v>
      </c>
      <c r="AV129" t="s">
        <v>266</v>
      </c>
      <c r="AW129">
        <v>1</v>
      </c>
      <c r="AX129">
        <v>35</v>
      </c>
      <c r="AY129">
        <v>35</v>
      </c>
      <c r="AZ129" t="s">
        <v>272</v>
      </c>
      <c r="BC129">
        <v>1</v>
      </c>
      <c r="BE129">
        <v>2</v>
      </c>
      <c r="BG129">
        <v>100</v>
      </c>
      <c r="BH129">
        <v>0</v>
      </c>
      <c r="BI129">
        <v>0</v>
      </c>
      <c r="BK129">
        <v>11.632279</v>
      </c>
      <c r="BL129">
        <v>11.632279</v>
      </c>
      <c r="BM129">
        <v>0</v>
      </c>
      <c r="BN129">
        <v>0.31468941</v>
      </c>
      <c r="BO129">
        <v>0.31468941</v>
      </c>
      <c r="BP129">
        <v>0</v>
      </c>
      <c r="BQ129">
        <v>0.97923126999999999</v>
      </c>
      <c r="BR129">
        <v>0.97923126999999999</v>
      </c>
      <c r="BS129">
        <v>0</v>
      </c>
      <c r="BT129">
        <v>8.4920903999999992E-3</v>
      </c>
      <c r="BU129">
        <v>1.0705279E-3</v>
      </c>
      <c r="BV129">
        <v>3.9791689999999998E-4</v>
      </c>
      <c r="BW129" s="2">
        <v>8.8125000000000003E-8</v>
      </c>
      <c r="BX129">
        <v>0</v>
      </c>
      <c r="BY129">
        <v>0</v>
      </c>
      <c r="BZ129">
        <v>6</v>
      </c>
      <c r="CA129">
        <v>872.42092500000001</v>
      </c>
      <c r="CB129">
        <v>872.42092500000001</v>
      </c>
      <c r="CC129">
        <v>0</v>
      </c>
      <c r="CD129">
        <v>23.601705750000001</v>
      </c>
      <c r="CE129">
        <v>23.601705750000001</v>
      </c>
      <c r="CF129">
        <v>0</v>
      </c>
      <c r="CG129">
        <v>73.442345250000002</v>
      </c>
      <c r="CH129">
        <v>73.442345250000002</v>
      </c>
      <c r="CI129">
        <v>0</v>
      </c>
      <c r="CJ129">
        <v>0.63690678000000001</v>
      </c>
      <c r="CK129">
        <v>8.0289592500000007E-2</v>
      </c>
      <c r="CL129">
        <v>2.98437675E-2</v>
      </c>
      <c r="CM129" s="2">
        <v>6.6093749999999997E-6</v>
      </c>
      <c r="CN129">
        <v>126.241992375</v>
      </c>
      <c r="CO129">
        <v>89.908659041666994</v>
      </c>
      <c r="CP129">
        <v>32.401142433479002</v>
      </c>
      <c r="CQ129">
        <v>32.401142433479002</v>
      </c>
      <c r="CR129">
        <v>0</v>
      </c>
      <c r="CS129">
        <v>0.87655191177220004</v>
      </c>
      <c r="CT129">
        <v>0.87655191177220004</v>
      </c>
      <c r="CU129">
        <v>0</v>
      </c>
      <c r="CV129">
        <v>2.7276006580127001</v>
      </c>
      <c r="CW129">
        <v>2.7276006580127001</v>
      </c>
      <c r="CX129">
        <v>0</v>
      </c>
      <c r="CY129">
        <v>2.3654301157012E-2</v>
      </c>
      <c r="CZ129">
        <v>2.9819029415399999E-3</v>
      </c>
      <c r="DA129">
        <v>1.1083780017301999E-3</v>
      </c>
      <c r="DB129" s="2">
        <v>2.4546786377376001E-7</v>
      </c>
    </row>
    <row r="130" spans="1:106" x14ac:dyDescent="0.25">
      <c r="A130">
        <v>25868</v>
      </c>
      <c r="B130" t="s">
        <v>284</v>
      </c>
      <c r="C130">
        <v>50</v>
      </c>
      <c r="D130" t="s">
        <v>261</v>
      </c>
      <c r="E130">
        <v>2</v>
      </c>
      <c r="F130" t="s">
        <v>167</v>
      </c>
      <c r="G130">
        <v>31799.16</v>
      </c>
      <c r="H130" t="s">
        <v>0</v>
      </c>
      <c r="I130">
        <v>4</v>
      </c>
      <c r="J130">
        <v>31799.16</v>
      </c>
      <c r="L130">
        <v>92117.401014000003</v>
      </c>
      <c r="O130">
        <v>796845</v>
      </c>
      <c r="P130" t="s">
        <v>73</v>
      </c>
      <c r="Q130">
        <v>160</v>
      </c>
      <c r="R130" t="s">
        <v>262</v>
      </c>
      <c r="S130" t="s">
        <v>263</v>
      </c>
      <c r="T130">
        <v>4035</v>
      </c>
      <c r="W130" t="s">
        <v>16</v>
      </c>
      <c r="Y130">
        <v>0.2</v>
      </c>
      <c r="AF130" t="s">
        <v>74</v>
      </c>
      <c r="AG130" t="s">
        <v>6</v>
      </c>
      <c r="AH130" s="1">
        <v>1</v>
      </c>
      <c r="AI130">
        <v>0.2</v>
      </c>
      <c r="AJ130">
        <v>2325</v>
      </c>
      <c r="AK130">
        <v>465</v>
      </c>
      <c r="AM130">
        <v>465</v>
      </c>
      <c r="AN130">
        <v>1876275</v>
      </c>
      <c r="AO130">
        <v>59.003917084602001</v>
      </c>
      <c r="AP130" t="s">
        <v>0</v>
      </c>
      <c r="AQ130" t="s">
        <v>264</v>
      </c>
      <c r="AR130">
        <v>30358</v>
      </c>
      <c r="AS130" t="s">
        <v>265</v>
      </c>
      <c r="AT130">
        <v>1</v>
      </c>
      <c r="AU130">
        <v>1</v>
      </c>
      <c r="AV130" t="s">
        <v>266</v>
      </c>
      <c r="AW130">
        <v>0</v>
      </c>
      <c r="AX130">
        <v>100</v>
      </c>
      <c r="AY130">
        <v>100</v>
      </c>
      <c r="AZ130" t="s">
        <v>267</v>
      </c>
      <c r="BK130">
        <v>1.5660049</v>
      </c>
      <c r="BL130">
        <v>1.5660049</v>
      </c>
      <c r="BM130">
        <v>0</v>
      </c>
      <c r="BN130">
        <v>4.7475960999999997E-2</v>
      </c>
      <c r="BO130">
        <v>4.7475960999999997E-2</v>
      </c>
      <c r="BP130">
        <v>0</v>
      </c>
      <c r="BQ130">
        <v>0.15291231999999999</v>
      </c>
      <c r="BR130">
        <v>0.15291231999999999</v>
      </c>
      <c r="BS130">
        <v>0</v>
      </c>
      <c r="BT130">
        <v>3.9132148000000001E-4</v>
      </c>
      <c r="BU130">
        <v>2.4656103E-4</v>
      </c>
      <c r="BV130" s="2">
        <v>7.7190705E-5</v>
      </c>
      <c r="BW130" s="2">
        <v>4.5130751999999996E-9</v>
      </c>
      <c r="BX130">
        <v>0</v>
      </c>
      <c r="BY130">
        <v>0</v>
      </c>
      <c r="BZ130">
        <v>6</v>
      </c>
      <c r="CA130">
        <v>728.19227850000004</v>
      </c>
      <c r="CB130">
        <v>728.19227850000004</v>
      </c>
      <c r="CC130">
        <v>0</v>
      </c>
      <c r="CD130">
        <v>22.076321865000001</v>
      </c>
      <c r="CE130">
        <v>22.076321865000001</v>
      </c>
      <c r="CF130">
        <v>0</v>
      </c>
      <c r="CG130">
        <v>71.104228800000001</v>
      </c>
      <c r="CH130">
        <v>71.104228800000001</v>
      </c>
      <c r="CI130">
        <v>0</v>
      </c>
      <c r="CJ130">
        <v>0.1819644882</v>
      </c>
      <c r="CK130">
        <v>0.11465087894999999</v>
      </c>
      <c r="CL130">
        <v>3.5893677824999998E-2</v>
      </c>
      <c r="CM130" s="2">
        <v>2.0985799679999999E-6</v>
      </c>
      <c r="CN130">
        <v>60.385712509999998</v>
      </c>
      <c r="CO130">
        <v>24.052379176666999</v>
      </c>
      <c r="CP130">
        <v>92.400423273681</v>
      </c>
      <c r="CQ130">
        <v>92.400423273681</v>
      </c>
      <c r="CR130">
        <v>0</v>
      </c>
      <c r="CS130">
        <v>2.8012676663558</v>
      </c>
      <c r="CT130">
        <v>2.8012676663558</v>
      </c>
      <c r="CU130">
        <v>0</v>
      </c>
      <c r="CV130">
        <v>9.0224258504941997</v>
      </c>
      <c r="CW130">
        <v>9.0224258504941997</v>
      </c>
      <c r="CX130">
        <v>0</v>
      </c>
      <c r="CY130">
        <v>2.3089500159343999E-2</v>
      </c>
      <c r="CZ130">
        <v>1.4548066570413999E-2</v>
      </c>
      <c r="DA130">
        <v>4.5545539575220003E-3</v>
      </c>
      <c r="DB130" s="2">
        <v>2.6628911489737E-7</v>
      </c>
    </row>
    <row r="131" spans="1:106" x14ac:dyDescent="0.25">
      <c r="A131">
        <v>25868</v>
      </c>
      <c r="B131" t="s">
        <v>284</v>
      </c>
      <c r="C131">
        <v>50</v>
      </c>
      <c r="D131" t="s">
        <v>261</v>
      </c>
      <c r="E131">
        <v>2</v>
      </c>
      <c r="F131" t="s">
        <v>167</v>
      </c>
      <c r="G131">
        <v>31799.16</v>
      </c>
      <c r="H131" t="s">
        <v>0</v>
      </c>
      <c r="I131">
        <v>4</v>
      </c>
      <c r="J131">
        <v>31799.16</v>
      </c>
      <c r="L131">
        <v>92117.401014000003</v>
      </c>
      <c r="O131">
        <v>796840</v>
      </c>
      <c r="P131" t="s">
        <v>75</v>
      </c>
      <c r="Q131">
        <v>114</v>
      </c>
      <c r="R131" t="s">
        <v>262</v>
      </c>
      <c r="S131" t="s">
        <v>263</v>
      </c>
      <c r="T131">
        <v>7817</v>
      </c>
      <c r="W131" t="s">
        <v>16</v>
      </c>
      <c r="Y131">
        <v>0.35</v>
      </c>
      <c r="AF131" t="s">
        <v>29</v>
      </c>
      <c r="AG131" t="s">
        <v>30</v>
      </c>
      <c r="AH131" s="1">
        <v>1</v>
      </c>
      <c r="AI131">
        <v>0.35</v>
      </c>
      <c r="AJ131">
        <v>2325</v>
      </c>
      <c r="AK131">
        <v>813.75</v>
      </c>
      <c r="AM131">
        <v>813.75</v>
      </c>
      <c r="AN131">
        <v>6361083.75</v>
      </c>
      <c r="AO131">
        <v>200.03936424736</v>
      </c>
      <c r="AP131" t="s">
        <v>0</v>
      </c>
      <c r="AQ131" t="s">
        <v>264</v>
      </c>
      <c r="AR131">
        <v>30358</v>
      </c>
      <c r="AS131" t="s">
        <v>265</v>
      </c>
      <c r="AT131">
        <v>1</v>
      </c>
      <c r="AU131">
        <v>1</v>
      </c>
      <c r="AV131" t="s">
        <v>266</v>
      </c>
      <c r="AW131">
        <v>0</v>
      </c>
      <c r="AX131">
        <v>100</v>
      </c>
      <c r="AY131">
        <v>100</v>
      </c>
      <c r="AZ131" t="s">
        <v>267</v>
      </c>
      <c r="BK131">
        <v>1.5660049</v>
      </c>
      <c r="BL131">
        <v>1.5660049</v>
      </c>
      <c r="BM131">
        <v>0</v>
      </c>
      <c r="BN131">
        <v>4.7475960999999997E-2</v>
      </c>
      <c r="BO131">
        <v>4.7475960999999997E-2</v>
      </c>
      <c r="BP131">
        <v>0</v>
      </c>
      <c r="BQ131">
        <v>0.15291231999999999</v>
      </c>
      <c r="BR131">
        <v>0.15291231999999999</v>
      </c>
      <c r="BS131">
        <v>0</v>
      </c>
      <c r="BT131">
        <v>3.9132148000000001E-4</v>
      </c>
      <c r="BU131">
        <v>2.4656103E-4</v>
      </c>
      <c r="BV131" s="2">
        <v>7.7190705E-5</v>
      </c>
      <c r="BW131" s="2">
        <v>4.5130751999999996E-9</v>
      </c>
      <c r="BX131">
        <v>0</v>
      </c>
      <c r="BY131">
        <v>0</v>
      </c>
      <c r="BZ131">
        <v>6</v>
      </c>
      <c r="CA131">
        <v>1274.3364873749999</v>
      </c>
      <c r="CB131">
        <v>1274.3364873749999</v>
      </c>
      <c r="CC131">
        <v>0</v>
      </c>
      <c r="CD131">
        <v>38.633563263749998</v>
      </c>
      <c r="CE131">
        <v>38.633563263749998</v>
      </c>
      <c r="CF131">
        <v>0</v>
      </c>
      <c r="CG131">
        <v>124.43240040000001</v>
      </c>
      <c r="CH131">
        <v>124.43240040000001</v>
      </c>
      <c r="CI131">
        <v>0</v>
      </c>
      <c r="CJ131">
        <v>0.31843785434999999</v>
      </c>
      <c r="CK131">
        <v>0.20063903816250001</v>
      </c>
      <c r="CL131">
        <v>6.2813936193750003E-2</v>
      </c>
      <c r="CM131" s="2">
        <v>3.672514944E-6</v>
      </c>
      <c r="CN131">
        <v>105.6749968925</v>
      </c>
      <c r="CO131">
        <v>69.341663559167003</v>
      </c>
      <c r="CP131">
        <v>313.26262460424999</v>
      </c>
      <c r="CQ131">
        <v>313.26262460424999</v>
      </c>
      <c r="CR131">
        <v>0</v>
      </c>
      <c r="CS131">
        <v>9.4970610554722992</v>
      </c>
      <c r="CT131">
        <v>9.4970610554722992</v>
      </c>
      <c r="CU131">
        <v>0</v>
      </c>
      <c r="CV131">
        <v>30.588483278388001</v>
      </c>
      <c r="CW131">
        <v>30.588483278388001</v>
      </c>
      <c r="CX131">
        <v>0</v>
      </c>
      <c r="CY131">
        <v>7.8279700075535003E-2</v>
      </c>
      <c r="CZ131">
        <v>4.9321911689373998E-2</v>
      </c>
      <c r="DA131">
        <v>1.5441179554004999E-2</v>
      </c>
      <c r="DB131" s="2">
        <v>9.0279269380851997E-7</v>
      </c>
    </row>
    <row r="132" spans="1:106" x14ac:dyDescent="0.25">
      <c r="A132">
        <v>25868</v>
      </c>
      <c r="B132" t="s">
        <v>284</v>
      </c>
      <c r="C132">
        <v>50</v>
      </c>
      <c r="D132" t="s">
        <v>261</v>
      </c>
      <c r="E132">
        <v>2</v>
      </c>
      <c r="F132" t="s">
        <v>167</v>
      </c>
      <c r="G132">
        <v>31799.16</v>
      </c>
      <c r="H132" t="s">
        <v>0</v>
      </c>
      <c r="I132">
        <v>4</v>
      </c>
      <c r="J132">
        <v>31799.16</v>
      </c>
      <c r="L132">
        <v>92117.401014000003</v>
      </c>
      <c r="O132">
        <v>796844</v>
      </c>
      <c r="P132" t="s">
        <v>76</v>
      </c>
      <c r="Q132">
        <v>101</v>
      </c>
      <c r="R132" t="s">
        <v>262</v>
      </c>
      <c r="S132" t="s">
        <v>263</v>
      </c>
      <c r="T132">
        <v>420.5</v>
      </c>
      <c r="W132" t="s">
        <v>16</v>
      </c>
      <c r="Y132">
        <v>0.25</v>
      </c>
      <c r="AF132" t="s">
        <v>70</v>
      </c>
      <c r="AG132" t="s">
        <v>6</v>
      </c>
      <c r="AH132" s="1">
        <v>1</v>
      </c>
      <c r="AI132">
        <v>0.25</v>
      </c>
      <c r="AJ132">
        <v>2325</v>
      </c>
      <c r="AK132">
        <v>581.25</v>
      </c>
      <c r="AM132">
        <v>581.25</v>
      </c>
      <c r="AN132">
        <v>244415.625</v>
      </c>
      <c r="AO132">
        <v>7.6862289758597004</v>
      </c>
      <c r="AP132" t="s">
        <v>0</v>
      </c>
      <c r="AQ132" t="s">
        <v>264</v>
      </c>
      <c r="AR132">
        <v>30358</v>
      </c>
      <c r="AS132" t="s">
        <v>265</v>
      </c>
      <c r="AT132">
        <v>1</v>
      </c>
      <c r="AU132">
        <v>1</v>
      </c>
      <c r="AV132" t="s">
        <v>266</v>
      </c>
      <c r="AW132">
        <v>0</v>
      </c>
      <c r="AX132">
        <v>100</v>
      </c>
      <c r="AY132">
        <v>100</v>
      </c>
      <c r="AZ132" t="s">
        <v>267</v>
      </c>
      <c r="BK132">
        <v>1.5660049</v>
      </c>
      <c r="BL132">
        <v>1.5660049</v>
      </c>
      <c r="BM132">
        <v>0</v>
      </c>
      <c r="BN132">
        <v>4.7475960999999997E-2</v>
      </c>
      <c r="BO132">
        <v>4.7475960999999997E-2</v>
      </c>
      <c r="BP132">
        <v>0</v>
      </c>
      <c r="BQ132">
        <v>0.15291231999999999</v>
      </c>
      <c r="BR132">
        <v>0.15291231999999999</v>
      </c>
      <c r="BS132">
        <v>0</v>
      </c>
      <c r="BT132">
        <v>3.9132148000000001E-4</v>
      </c>
      <c r="BU132">
        <v>2.4656103E-4</v>
      </c>
      <c r="BV132" s="2">
        <v>7.7190705E-5</v>
      </c>
      <c r="BW132" s="2">
        <v>4.5130751999999996E-9</v>
      </c>
      <c r="BX132">
        <v>0</v>
      </c>
      <c r="BY132">
        <v>0</v>
      </c>
      <c r="BZ132">
        <v>6</v>
      </c>
      <c r="CA132">
        <v>910.24034812499997</v>
      </c>
      <c r="CB132">
        <v>910.24034812499997</v>
      </c>
      <c r="CC132">
        <v>0</v>
      </c>
      <c r="CD132">
        <v>27.59540233125</v>
      </c>
      <c r="CE132">
        <v>27.59540233125</v>
      </c>
      <c r="CF132">
        <v>0</v>
      </c>
      <c r="CG132">
        <v>88.880285999999998</v>
      </c>
      <c r="CH132">
        <v>88.880285999999998</v>
      </c>
      <c r="CI132">
        <v>0</v>
      </c>
      <c r="CJ132">
        <v>0.22745561025</v>
      </c>
      <c r="CK132">
        <v>0.14331359868749999</v>
      </c>
      <c r="CL132">
        <v>4.4867097281249997E-2</v>
      </c>
      <c r="CM132" s="2">
        <v>2.6232249600000001E-6</v>
      </c>
      <c r="CN132">
        <v>75.482140637499995</v>
      </c>
      <c r="CO132">
        <v>39.148807304167001</v>
      </c>
      <c r="CP132">
        <v>12.036672238717999</v>
      </c>
      <c r="CQ132">
        <v>12.036672238717999</v>
      </c>
      <c r="CR132">
        <v>0</v>
      </c>
      <c r="CS132">
        <v>0.36491110709498997</v>
      </c>
      <c r="CT132">
        <v>0.36491110709498997</v>
      </c>
      <c r="CU132">
        <v>0</v>
      </c>
      <c r="CV132">
        <v>1.1753191047499001</v>
      </c>
      <c r="CW132">
        <v>1.1753191047499001</v>
      </c>
      <c r="CX132">
        <v>0</v>
      </c>
      <c r="CY132">
        <v>3.0077864984523E-3</v>
      </c>
      <c r="CZ132">
        <v>1.8951245331038E-3</v>
      </c>
      <c r="DA132">
        <v>5.9330543343804004E-4</v>
      </c>
      <c r="DB132" s="2">
        <v>3.4688529372474003E-8</v>
      </c>
    </row>
    <row r="133" spans="1:106" x14ac:dyDescent="0.25">
      <c r="A133">
        <v>25868</v>
      </c>
      <c r="B133" t="s">
        <v>284</v>
      </c>
      <c r="C133">
        <v>50</v>
      </c>
      <c r="D133" t="s">
        <v>261</v>
      </c>
      <c r="E133">
        <v>2</v>
      </c>
      <c r="F133" t="s">
        <v>167</v>
      </c>
      <c r="G133">
        <v>31799.16</v>
      </c>
      <c r="H133" t="s">
        <v>0</v>
      </c>
      <c r="I133">
        <v>4</v>
      </c>
      <c r="J133">
        <v>31799.16</v>
      </c>
      <c r="L133">
        <v>92117.401014000003</v>
      </c>
      <c r="O133">
        <v>796848</v>
      </c>
      <c r="P133" t="s">
        <v>301</v>
      </c>
      <c r="Q133">
        <v>118</v>
      </c>
      <c r="R133" t="s">
        <v>262</v>
      </c>
      <c r="S133" t="s">
        <v>263</v>
      </c>
      <c r="T133">
        <v>1223</v>
      </c>
      <c r="W133" t="s">
        <v>302</v>
      </c>
      <c r="Y133">
        <v>0.18</v>
      </c>
      <c r="AF133" t="s">
        <v>67</v>
      </c>
      <c r="AG133" t="s">
        <v>68</v>
      </c>
      <c r="AH133" s="1">
        <v>1</v>
      </c>
      <c r="AI133">
        <v>0.18</v>
      </c>
      <c r="AJ133">
        <v>2400</v>
      </c>
      <c r="AK133">
        <v>432</v>
      </c>
      <c r="AM133">
        <v>432</v>
      </c>
      <c r="AN133">
        <v>528336</v>
      </c>
      <c r="AO133">
        <v>16.614778503583</v>
      </c>
      <c r="AP133" t="s">
        <v>0</v>
      </c>
      <c r="AQ133" t="s">
        <v>264</v>
      </c>
      <c r="AR133">
        <v>30358</v>
      </c>
      <c r="AS133" t="s">
        <v>265</v>
      </c>
      <c r="AT133">
        <v>1</v>
      </c>
      <c r="AU133">
        <v>1</v>
      </c>
      <c r="AV133" t="s">
        <v>266</v>
      </c>
      <c r="AW133">
        <v>0</v>
      </c>
      <c r="AX133">
        <v>100</v>
      </c>
      <c r="AY133">
        <v>100</v>
      </c>
      <c r="AZ133" t="s">
        <v>267</v>
      </c>
      <c r="BK133">
        <v>0.78204929999999995</v>
      </c>
      <c r="BL133">
        <v>0.78204929999999995</v>
      </c>
      <c r="BM133">
        <v>0</v>
      </c>
      <c r="BN133">
        <v>2.7370759000000001E-2</v>
      </c>
      <c r="BO133">
        <v>2.7370759000000001E-2</v>
      </c>
      <c r="BP133">
        <v>0</v>
      </c>
      <c r="BQ133">
        <v>0.10818627</v>
      </c>
      <c r="BR133">
        <v>0.10818627</v>
      </c>
      <c r="BS133">
        <v>0</v>
      </c>
      <c r="BT133">
        <v>1.8863659E-4</v>
      </c>
      <c r="BU133">
        <v>1.2395097999999999E-4</v>
      </c>
      <c r="BV133" s="2">
        <v>3.0961443000000002E-5</v>
      </c>
      <c r="BW133" s="2">
        <v>2.1961850000000001E-9</v>
      </c>
      <c r="BX133">
        <v>0</v>
      </c>
      <c r="BY133">
        <v>0</v>
      </c>
      <c r="BZ133">
        <v>6</v>
      </c>
      <c r="CA133">
        <v>337.84529759999998</v>
      </c>
      <c r="CB133">
        <v>337.84529759999998</v>
      </c>
      <c r="CC133">
        <v>0</v>
      </c>
      <c r="CD133">
        <v>11.824167888</v>
      </c>
      <c r="CE133">
        <v>11.824167888</v>
      </c>
      <c r="CF133">
        <v>0</v>
      </c>
      <c r="CG133">
        <v>46.736468639999998</v>
      </c>
      <c r="CH133">
        <v>46.736468639999998</v>
      </c>
      <c r="CI133">
        <v>0</v>
      </c>
      <c r="CJ133">
        <v>8.1491006879999994E-2</v>
      </c>
      <c r="CK133">
        <v>5.3546823360000002E-2</v>
      </c>
      <c r="CL133">
        <v>1.3375343376E-2</v>
      </c>
      <c r="CM133" s="2">
        <v>9.4875192E-7</v>
      </c>
      <c r="CN133">
        <v>29.916388944000001</v>
      </c>
      <c r="CO133">
        <v>-6.4169443893332998</v>
      </c>
      <c r="CP133">
        <v>12.993575898382</v>
      </c>
      <c r="CQ133">
        <v>12.993575898382</v>
      </c>
      <c r="CR133">
        <v>0</v>
      </c>
      <c r="CS133">
        <v>0.45475909825994998</v>
      </c>
      <c r="CT133">
        <v>0.45475909825994998</v>
      </c>
      <c r="CU133">
        <v>0</v>
      </c>
      <c r="CV133">
        <v>1.7974909131787999</v>
      </c>
      <c r="CW133">
        <v>1.7974909131787999</v>
      </c>
      <c r="CX133">
        <v>0</v>
      </c>
      <c r="CY133">
        <v>3.1341551605212001E-3</v>
      </c>
      <c r="CZ133">
        <v>2.0594180780020999E-3</v>
      </c>
      <c r="DA133">
        <v>5.1441751759630997E-4</v>
      </c>
      <c r="DB133" s="2">
        <v>3.6489127327892E-8</v>
      </c>
    </row>
    <row r="134" spans="1:106" x14ac:dyDescent="0.25">
      <c r="A134">
        <v>25868</v>
      </c>
      <c r="B134" t="s">
        <v>284</v>
      </c>
      <c r="C134">
        <v>50</v>
      </c>
      <c r="D134" t="s">
        <v>261</v>
      </c>
      <c r="E134">
        <v>2</v>
      </c>
      <c r="F134" t="s">
        <v>167</v>
      </c>
      <c r="G134">
        <v>31799.16</v>
      </c>
      <c r="H134" t="s">
        <v>0</v>
      </c>
      <c r="I134">
        <v>4</v>
      </c>
      <c r="J134">
        <v>31799.16</v>
      </c>
      <c r="L134">
        <v>92117.401014000003</v>
      </c>
      <c r="O134">
        <v>796839</v>
      </c>
      <c r="P134" t="s">
        <v>303</v>
      </c>
      <c r="Q134">
        <v>118</v>
      </c>
      <c r="R134" t="s">
        <v>262</v>
      </c>
      <c r="S134" t="s">
        <v>263</v>
      </c>
      <c r="T134">
        <v>740</v>
      </c>
      <c r="W134" t="s">
        <v>16</v>
      </c>
      <c r="Y134">
        <v>0.4</v>
      </c>
      <c r="AF134" t="s">
        <v>67</v>
      </c>
      <c r="AG134" t="s">
        <v>68</v>
      </c>
      <c r="AH134" s="1">
        <v>1</v>
      </c>
      <c r="AI134">
        <v>0.4</v>
      </c>
      <c r="AJ134">
        <v>2325</v>
      </c>
      <c r="AK134">
        <v>930</v>
      </c>
      <c r="AM134">
        <v>930</v>
      </c>
      <c r="AN134">
        <v>688200</v>
      </c>
      <c r="AO134">
        <v>21.642081111576999</v>
      </c>
      <c r="AP134" t="s">
        <v>0</v>
      </c>
      <c r="AQ134" t="s">
        <v>264</v>
      </c>
      <c r="AR134">
        <v>30358</v>
      </c>
      <c r="AS134" t="s">
        <v>265</v>
      </c>
      <c r="AT134">
        <v>1</v>
      </c>
      <c r="AU134">
        <v>1</v>
      </c>
      <c r="AV134" t="s">
        <v>266</v>
      </c>
      <c r="AW134">
        <v>0</v>
      </c>
      <c r="AX134">
        <v>100</v>
      </c>
      <c r="AY134">
        <v>100</v>
      </c>
      <c r="AZ134" t="s">
        <v>267</v>
      </c>
      <c r="BK134">
        <v>1.5660049</v>
      </c>
      <c r="BL134">
        <v>1.5660049</v>
      </c>
      <c r="BM134">
        <v>0</v>
      </c>
      <c r="BN134">
        <v>4.7475960999999997E-2</v>
      </c>
      <c r="BO134">
        <v>4.7475960999999997E-2</v>
      </c>
      <c r="BP134">
        <v>0</v>
      </c>
      <c r="BQ134">
        <v>0.15291231999999999</v>
      </c>
      <c r="BR134">
        <v>0.15291231999999999</v>
      </c>
      <c r="BS134">
        <v>0</v>
      </c>
      <c r="BT134">
        <v>3.9132148000000001E-4</v>
      </c>
      <c r="BU134">
        <v>2.4656103E-4</v>
      </c>
      <c r="BV134" s="2">
        <v>7.7190705E-5</v>
      </c>
      <c r="BW134" s="2">
        <v>4.5130751999999996E-9</v>
      </c>
      <c r="BX134">
        <v>0</v>
      </c>
      <c r="BY134">
        <v>0</v>
      </c>
      <c r="BZ134">
        <v>6</v>
      </c>
      <c r="CA134">
        <v>1456.3845570000001</v>
      </c>
      <c r="CB134">
        <v>1456.3845570000001</v>
      </c>
      <c r="CC134">
        <v>0</v>
      </c>
      <c r="CD134">
        <v>44.152643730000001</v>
      </c>
      <c r="CE134">
        <v>44.152643730000001</v>
      </c>
      <c r="CF134">
        <v>0</v>
      </c>
      <c r="CG134">
        <v>142.2084576</v>
      </c>
      <c r="CH134">
        <v>142.2084576</v>
      </c>
      <c r="CI134">
        <v>0</v>
      </c>
      <c r="CJ134">
        <v>0.36392897639999999</v>
      </c>
      <c r="CK134">
        <v>0.22930175789999999</v>
      </c>
      <c r="CL134">
        <v>7.1787355649999995E-2</v>
      </c>
      <c r="CM134" s="2">
        <v>4.1971599359999997E-6</v>
      </c>
      <c r="CN134">
        <v>120.77142502</v>
      </c>
      <c r="CO134">
        <v>84.438091686666993</v>
      </c>
      <c r="CP134">
        <v>33.891605066925997</v>
      </c>
      <c r="CQ134">
        <v>33.891605066925997</v>
      </c>
      <c r="CR134">
        <v>0</v>
      </c>
      <c r="CS134">
        <v>1.0274785988120001</v>
      </c>
      <c r="CT134">
        <v>1.0274785988120001</v>
      </c>
      <c r="CU134">
        <v>0</v>
      </c>
      <c r="CV134">
        <v>3.3093408323992999</v>
      </c>
      <c r="CW134">
        <v>3.3093408323992999</v>
      </c>
      <c r="CX134">
        <v>0</v>
      </c>
      <c r="CY134">
        <v>8.4690112108621995E-3</v>
      </c>
      <c r="CZ134">
        <v>5.3360938102139004E-3</v>
      </c>
      <c r="DA134">
        <v>1.6705674986698001E-3</v>
      </c>
      <c r="DB134" s="2">
        <v>9.7672339541044004E-8</v>
      </c>
    </row>
    <row r="135" spans="1:106" x14ac:dyDescent="0.25">
      <c r="A135">
        <v>25868</v>
      </c>
      <c r="B135" t="s">
        <v>284</v>
      </c>
      <c r="C135">
        <v>50</v>
      </c>
      <c r="D135" t="s">
        <v>261</v>
      </c>
      <c r="E135">
        <v>2</v>
      </c>
      <c r="F135" t="s">
        <v>167</v>
      </c>
      <c r="G135">
        <v>31799.16</v>
      </c>
      <c r="H135" t="s">
        <v>0</v>
      </c>
      <c r="I135">
        <v>4</v>
      </c>
      <c r="J135">
        <v>31799.16</v>
      </c>
      <c r="L135">
        <v>92117.401014000003</v>
      </c>
      <c r="O135">
        <v>796846</v>
      </c>
      <c r="P135" t="s">
        <v>77</v>
      </c>
      <c r="Q135">
        <v>160</v>
      </c>
      <c r="R135" t="s">
        <v>262</v>
      </c>
      <c r="S135" t="s">
        <v>263</v>
      </c>
      <c r="T135">
        <v>163</v>
      </c>
      <c r="W135" t="s">
        <v>16</v>
      </c>
      <c r="Y135">
        <v>0.2</v>
      </c>
      <c r="AF135" t="s">
        <v>74</v>
      </c>
      <c r="AG135" t="s">
        <v>6</v>
      </c>
      <c r="AH135" s="1">
        <v>1</v>
      </c>
      <c r="AI135">
        <v>0.2</v>
      </c>
      <c r="AJ135">
        <v>2325</v>
      </c>
      <c r="AK135">
        <v>465</v>
      </c>
      <c r="AM135">
        <v>465</v>
      </c>
      <c r="AN135">
        <v>75795</v>
      </c>
      <c r="AO135">
        <v>2.3835535278290001</v>
      </c>
      <c r="AP135" t="s">
        <v>0</v>
      </c>
      <c r="AQ135" t="s">
        <v>264</v>
      </c>
      <c r="AR135">
        <v>30358</v>
      </c>
      <c r="AS135" t="s">
        <v>265</v>
      </c>
      <c r="AT135">
        <v>1</v>
      </c>
      <c r="AU135">
        <v>1</v>
      </c>
      <c r="AV135" t="s">
        <v>266</v>
      </c>
      <c r="AW135">
        <v>0</v>
      </c>
      <c r="AX135">
        <v>100</v>
      </c>
      <c r="AY135">
        <v>100</v>
      </c>
      <c r="AZ135" t="s">
        <v>267</v>
      </c>
      <c r="BK135">
        <v>1.5660049</v>
      </c>
      <c r="BL135">
        <v>1.5660049</v>
      </c>
      <c r="BM135">
        <v>0</v>
      </c>
      <c r="BN135">
        <v>4.7475960999999997E-2</v>
      </c>
      <c r="BO135">
        <v>4.7475960999999997E-2</v>
      </c>
      <c r="BP135">
        <v>0</v>
      </c>
      <c r="BQ135">
        <v>0.15291231999999999</v>
      </c>
      <c r="BR135">
        <v>0.15291231999999999</v>
      </c>
      <c r="BS135">
        <v>0</v>
      </c>
      <c r="BT135">
        <v>3.9132148000000001E-4</v>
      </c>
      <c r="BU135">
        <v>2.4656103E-4</v>
      </c>
      <c r="BV135" s="2">
        <v>7.7190705E-5</v>
      </c>
      <c r="BW135" s="2">
        <v>4.5130751999999996E-9</v>
      </c>
      <c r="BX135">
        <v>0</v>
      </c>
      <c r="BY135">
        <v>0</v>
      </c>
      <c r="BZ135">
        <v>6</v>
      </c>
      <c r="CA135">
        <v>728.19227850000004</v>
      </c>
      <c r="CB135">
        <v>728.19227850000004</v>
      </c>
      <c r="CC135">
        <v>0</v>
      </c>
      <c r="CD135">
        <v>22.076321865000001</v>
      </c>
      <c r="CE135">
        <v>22.076321865000001</v>
      </c>
      <c r="CF135">
        <v>0</v>
      </c>
      <c r="CG135">
        <v>71.104228800000001</v>
      </c>
      <c r="CH135">
        <v>71.104228800000001</v>
      </c>
      <c r="CI135">
        <v>0</v>
      </c>
      <c r="CJ135">
        <v>0.1819644882</v>
      </c>
      <c r="CK135">
        <v>0.11465087894999999</v>
      </c>
      <c r="CL135">
        <v>3.5893677824999998E-2</v>
      </c>
      <c r="CM135" s="2">
        <v>2.0985799679999999E-6</v>
      </c>
      <c r="CN135">
        <v>60.385712509999998</v>
      </c>
      <c r="CO135">
        <v>24.052379176666999</v>
      </c>
      <c r="CP135">
        <v>3.7326565039926001</v>
      </c>
      <c r="CQ135">
        <v>3.7326565039926001</v>
      </c>
      <c r="CR135">
        <v>0</v>
      </c>
      <c r="CS135">
        <v>0.11316149432861999</v>
      </c>
      <c r="CT135">
        <v>0.11316149432861999</v>
      </c>
      <c r="CU135">
        <v>0</v>
      </c>
      <c r="CV135">
        <v>0.36447469978452002</v>
      </c>
      <c r="CW135">
        <v>0.36447469978452002</v>
      </c>
      <c r="CX135">
        <v>0</v>
      </c>
      <c r="CY135">
        <v>9.3273569416927997E-4</v>
      </c>
      <c r="CZ135">
        <v>5.8769141288165995E-4</v>
      </c>
      <c r="DA135">
        <v>1.8398817721836E-4</v>
      </c>
      <c r="DB135" s="2">
        <v>1.0757156314318E-8</v>
      </c>
    </row>
    <row r="136" spans="1:106" x14ac:dyDescent="0.25">
      <c r="A136">
        <v>25868</v>
      </c>
      <c r="B136" t="s">
        <v>284</v>
      </c>
      <c r="C136">
        <v>50</v>
      </c>
      <c r="D136" t="s">
        <v>261</v>
      </c>
      <c r="E136">
        <v>2</v>
      </c>
      <c r="F136" t="s">
        <v>167</v>
      </c>
      <c r="G136">
        <v>31799.16</v>
      </c>
      <c r="H136" t="s">
        <v>0</v>
      </c>
      <c r="I136">
        <v>4</v>
      </c>
      <c r="J136">
        <v>31799.16</v>
      </c>
      <c r="L136">
        <v>92117.401014000003</v>
      </c>
      <c r="O136">
        <v>796836</v>
      </c>
      <c r="P136" t="s">
        <v>78</v>
      </c>
      <c r="Q136">
        <v>129</v>
      </c>
      <c r="R136" t="s">
        <v>269</v>
      </c>
      <c r="S136" t="s">
        <v>263</v>
      </c>
      <c r="T136">
        <v>2725.0650000000001</v>
      </c>
      <c r="U136">
        <v>0.111</v>
      </c>
      <c r="V136">
        <v>2142734844</v>
      </c>
      <c r="W136" t="s">
        <v>79</v>
      </c>
      <c r="X136" t="s">
        <v>270</v>
      </c>
      <c r="AF136" t="s">
        <v>80</v>
      </c>
      <c r="AG136" t="s">
        <v>81</v>
      </c>
      <c r="AH136" s="3">
        <v>0.34268617886178998</v>
      </c>
      <c r="AM136">
        <v>0.34268617886178998</v>
      </c>
      <c r="AN136">
        <v>933.84211200000004</v>
      </c>
      <c r="AO136">
        <v>2.9366879879846E-2</v>
      </c>
      <c r="AP136" t="s">
        <v>0</v>
      </c>
      <c r="AQ136" t="s">
        <v>0</v>
      </c>
      <c r="AR136">
        <v>30358</v>
      </c>
      <c r="AS136" t="s">
        <v>265</v>
      </c>
      <c r="AT136" t="s">
        <v>271</v>
      </c>
      <c r="AV136" t="s">
        <v>266</v>
      </c>
      <c r="AW136">
        <v>1</v>
      </c>
      <c r="AX136">
        <v>35</v>
      </c>
      <c r="AY136">
        <v>35</v>
      </c>
      <c r="AZ136" t="s">
        <v>272</v>
      </c>
      <c r="BC136">
        <v>3</v>
      </c>
      <c r="BE136">
        <v>3</v>
      </c>
      <c r="BK136">
        <v>2283.21</v>
      </c>
      <c r="BL136">
        <v>2197</v>
      </c>
      <c r="BM136">
        <v>86.21</v>
      </c>
      <c r="BN136">
        <v>1176.6300000000001</v>
      </c>
      <c r="BO136">
        <v>84.2</v>
      </c>
      <c r="BP136">
        <v>1092.43</v>
      </c>
      <c r="BQ136">
        <v>79.231499999999997</v>
      </c>
      <c r="BR136">
        <v>131.19</v>
      </c>
      <c r="BS136">
        <v>-51.958500000000001</v>
      </c>
      <c r="BT136">
        <v>0.61399999999999999</v>
      </c>
      <c r="BU136">
        <v>0.34089999999999998</v>
      </c>
      <c r="BV136">
        <v>7.3200000000000001E-2</v>
      </c>
      <c r="BW136" s="2">
        <v>8.6840259999999997E-6</v>
      </c>
      <c r="BY136">
        <v>0</v>
      </c>
      <c r="BZ136">
        <v>6</v>
      </c>
      <c r="CA136">
        <v>1564.8490208779999</v>
      </c>
      <c r="CB136">
        <v>1505.7630699187</v>
      </c>
      <c r="CC136">
        <v>59.085950959350001</v>
      </c>
      <c r="CD136">
        <v>806.42967726828999</v>
      </c>
      <c r="CE136">
        <v>57.708352520325001</v>
      </c>
      <c r="CF136">
        <v>748.72132474797002</v>
      </c>
      <c r="CG136">
        <v>72.108539785366006</v>
      </c>
      <c r="CH136">
        <v>89.913999609756004</v>
      </c>
      <c r="CI136">
        <v>-17.805459824389999</v>
      </c>
      <c r="CJ136">
        <v>0.42081862764228001</v>
      </c>
      <c r="CK136">
        <v>0.23364343674797</v>
      </c>
      <c r="CL136">
        <v>5.0169256585366001E-2</v>
      </c>
      <c r="CM136" s="2">
        <v>5.9517913741528003E-6</v>
      </c>
      <c r="CN136">
        <v>120.2888743458</v>
      </c>
      <c r="CO136">
        <v>210.54980087153999</v>
      </c>
      <c r="CP136">
        <v>134.10150762092999</v>
      </c>
      <c r="CQ136">
        <v>129.03807019204001</v>
      </c>
      <c r="CR136">
        <v>5.0634374288829997</v>
      </c>
      <c r="CS136">
        <v>69.107903746046006</v>
      </c>
      <c r="CT136">
        <v>4.9453825717660003</v>
      </c>
      <c r="CU136">
        <v>64.162521174280002</v>
      </c>
      <c r="CV136">
        <v>6.1794229146369997</v>
      </c>
      <c r="CW136">
        <v>7.7052819428739996</v>
      </c>
      <c r="CX136">
        <v>-1.5258590282369999</v>
      </c>
      <c r="CY136">
        <v>3.6062528492451E-2</v>
      </c>
      <c r="CZ136">
        <v>2.0022338702079E-2</v>
      </c>
      <c r="DA136">
        <v>4.2993112144094001E-3</v>
      </c>
      <c r="DB136" s="2">
        <v>5.1004549683092001E-7</v>
      </c>
    </row>
    <row r="137" spans="1:106" x14ac:dyDescent="0.25">
      <c r="A137">
        <v>25868</v>
      </c>
      <c r="B137" t="s">
        <v>284</v>
      </c>
      <c r="C137">
        <v>50</v>
      </c>
      <c r="D137" t="s">
        <v>261</v>
      </c>
      <c r="E137">
        <v>2</v>
      </c>
      <c r="F137" t="s">
        <v>167</v>
      </c>
      <c r="G137">
        <v>31799.16</v>
      </c>
      <c r="H137" t="s">
        <v>0</v>
      </c>
      <c r="I137">
        <v>4</v>
      </c>
      <c r="J137">
        <v>31799.16</v>
      </c>
      <c r="L137">
        <v>92117.401014000003</v>
      </c>
      <c r="O137">
        <v>796836</v>
      </c>
      <c r="P137" t="s">
        <v>78</v>
      </c>
      <c r="Q137">
        <v>129</v>
      </c>
      <c r="R137" t="s">
        <v>269</v>
      </c>
      <c r="S137" t="s">
        <v>263</v>
      </c>
      <c r="T137">
        <v>2725.0650000000001</v>
      </c>
      <c r="U137">
        <v>0.111</v>
      </c>
      <c r="V137">
        <v>2142734844</v>
      </c>
      <c r="W137" t="s">
        <v>82</v>
      </c>
      <c r="X137" t="s">
        <v>273</v>
      </c>
      <c r="AF137" t="s">
        <v>80</v>
      </c>
      <c r="AG137" t="s">
        <v>81</v>
      </c>
      <c r="AH137" s="3">
        <v>0.65731382113821002</v>
      </c>
      <c r="AM137">
        <v>0.65731382113821002</v>
      </c>
      <c r="AN137">
        <v>1791.222888</v>
      </c>
      <c r="AO137">
        <v>5.6329251716083002E-2</v>
      </c>
      <c r="AP137" t="s">
        <v>0</v>
      </c>
      <c r="AQ137" t="s">
        <v>0</v>
      </c>
      <c r="AR137">
        <v>30358</v>
      </c>
      <c r="AS137" t="s">
        <v>265</v>
      </c>
      <c r="AT137" t="s">
        <v>274</v>
      </c>
      <c r="AV137" t="s">
        <v>266</v>
      </c>
      <c r="AW137">
        <v>1</v>
      </c>
      <c r="AX137">
        <v>35</v>
      </c>
      <c r="AY137">
        <v>35</v>
      </c>
      <c r="AZ137" t="s">
        <v>272</v>
      </c>
      <c r="BC137">
        <v>1</v>
      </c>
      <c r="BE137">
        <v>2</v>
      </c>
      <c r="BK137">
        <v>801.25</v>
      </c>
      <c r="BL137">
        <v>785.17</v>
      </c>
      <c r="BM137">
        <v>16.079999999999998</v>
      </c>
      <c r="BN137">
        <v>38.07</v>
      </c>
      <c r="BO137">
        <v>38.07</v>
      </c>
      <c r="BP137">
        <v>0</v>
      </c>
      <c r="BQ137">
        <v>61.53</v>
      </c>
      <c r="BR137">
        <v>61.53</v>
      </c>
      <c r="BS137">
        <v>0</v>
      </c>
      <c r="BT137">
        <v>0.44500000000000001</v>
      </c>
      <c r="BU137">
        <v>8.09E-2</v>
      </c>
      <c r="BV137">
        <v>2.7E-2</v>
      </c>
      <c r="BW137" s="2">
        <v>5.4524938000000003E-6</v>
      </c>
      <c r="BY137">
        <v>0</v>
      </c>
      <c r="BZ137">
        <v>6</v>
      </c>
      <c r="CA137">
        <v>1053.3453983740001</v>
      </c>
      <c r="CB137">
        <v>1032.2061858862</v>
      </c>
      <c r="CC137">
        <v>21.139212487805001</v>
      </c>
      <c r="CD137">
        <v>50.047874341463</v>
      </c>
      <c r="CE137">
        <v>50.047874341463</v>
      </c>
      <c r="CF137">
        <v>0</v>
      </c>
      <c r="CG137">
        <v>80.889038829268003</v>
      </c>
      <c r="CH137">
        <v>80.889038829268003</v>
      </c>
      <c r="CI137">
        <v>0</v>
      </c>
      <c r="CJ137">
        <v>0.58500930081300995</v>
      </c>
      <c r="CK137">
        <v>0.10635337626016</v>
      </c>
      <c r="CL137">
        <v>3.5494946341463003E-2</v>
      </c>
      <c r="CM137" s="2">
        <v>7.1679990688207997E-6</v>
      </c>
      <c r="CN137">
        <v>126.59425985908</v>
      </c>
      <c r="CO137">
        <v>210.54980087153999</v>
      </c>
      <c r="CP137">
        <v>90.267625875023001</v>
      </c>
      <c r="CQ137">
        <v>88.456077139833994</v>
      </c>
      <c r="CR137">
        <v>1.8115487351891999</v>
      </c>
      <c r="CS137">
        <v>4.2889092256626</v>
      </c>
      <c r="CT137">
        <v>4.2889092256626</v>
      </c>
      <c r="CU137">
        <v>0</v>
      </c>
      <c r="CV137">
        <v>6.9318777161811997</v>
      </c>
      <c r="CW137">
        <v>6.9318777161811997</v>
      </c>
      <c r="CX137">
        <v>0</v>
      </c>
      <c r="CY137">
        <v>5.0133034027313998E-2</v>
      </c>
      <c r="CZ137">
        <v>9.1140729276621996E-3</v>
      </c>
      <c r="DA137">
        <v>3.0417795926684999E-3</v>
      </c>
      <c r="DB137" s="2">
        <v>6.1426979148116002E-7</v>
      </c>
    </row>
    <row r="138" spans="1:106" x14ac:dyDescent="0.25">
      <c r="A138">
        <v>25868</v>
      </c>
      <c r="B138" t="s">
        <v>284</v>
      </c>
      <c r="C138">
        <v>50</v>
      </c>
      <c r="D138" t="s">
        <v>261</v>
      </c>
      <c r="E138">
        <v>2</v>
      </c>
      <c r="F138" t="s">
        <v>167</v>
      </c>
      <c r="G138">
        <v>31799.16</v>
      </c>
      <c r="H138" t="s">
        <v>0</v>
      </c>
      <c r="I138">
        <v>4</v>
      </c>
      <c r="J138">
        <v>31799.16</v>
      </c>
      <c r="L138">
        <v>92117.401014000003</v>
      </c>
      <c r="O138">
        <v>796830</v>
      </c>
      <c r="P138" t="s">
        <v>83</v>
      </c>
      <c r="Q138">
        <v>214</v>
      </c>
      <c r="R138" t="s">
        <v>262</v>
      </c>
      <c r="S138" t="s">
        <v>263</v>
      </c>
      <c r="T138">
        <v>500.80816399999998</v>
      </c>
      <c r="W138" t="s">
        <v>84</v>
      </c>
      <c r="Y138">
        <v>7.4999999999999997E-2</v>
      </c>
      <c r="AF138" t="s">
        <v>85</v>
      </c>
      <c r="AG138" t="s">
        <v>6</v>
      </c>
      <c r="AH138" s="1">
        <v>1</v>
      </c>
      <c r="AI138">
        <v>7.4999999999999997E-2</v>
      </c>
      <c r="AJ138">
        <v>90</v>
      </c>
      <c r="AK138">
        <v>6.75</v>
      </c>
      <c r="AM138">
        <v>6.75</v>
      </c>
      <c r="AN138">
        <v>3380.4551070000002</v>
      </c>
      <c r="AO138">
        <v>0.10630642781129999</v>
      </c>
      <c r="AP138" t="s">
        <v>0</v>
      </c>
      <c r="AQ138" t="s">
        <v>264</v>
      </c>
      <c r="AR138">
        <v>30360</v>
      </c>
      <c r="AS138" t="s">
        <v>275</v>
      </c>
      <c r="AT138">
        <v>1</v>
      </c>
      <c r="AU138">
        <v>1</v>
      </c>
      <c r="AV138" t="s">
        <v>266</v>
      </c>
      <c r="AW138">
        <v>0</v>
      </c>
      <c r="AX138">
        <v>50</v>
      </c>
      <c r="AY138">
        <v>50</v>
      </c>
      <c r="AZ138" t="s">
        <v>285</v>
      </c>
      <c r="BC138">
        <v>4</v>
      </c>
      <c r="BE138">
        <v>3</v>
      </c>
      <c r="BG138">
        <v>100</v>
      </c>
      <c r="BH138">
        <v>0</v>
      </c>
      <c r="BI138">
        <v>0</v>
      </c>
      <c r="BK138">
        <v>45.731991999999998</v>
      </c>
      <c r="BL138">
        <v>45.731991999999998</v>
      </c>
      <c r="BM138">
        <v>0</v>
      </c>
      <c r="BN138">
        <v>2.1062276</v>
      </c>
      <c r="BO138">
        <v>2.1062276</v>
      </c>
      <c r="BP138">
        <v>0</v>
      </c>
      <c r="BQ138">
        <v>2.4170243</v>
      </c>
      <c r="BR138">
        <v>2.4220242999999999</v>
      </c>
      <c r="BS138">
        <v>-5.0000000000000001E-3</v>
      </c>
      <c r="BT138">
        <v>1.4977371999999999E-2</v>
      </c>
      <c r="BU138">
        <v>6.8625474999999998E-3</v>
      </c>
      <c r="BV138">
        <v>1.6468655999999999E-3</v>
      </c>
      <c r="BW138" s="2">
        <v>2.6073393999999998E-7</v>
      </c>
      <c r="BX138">
        <v>0</v>
      </c>
      <c r="BY138">
        <v>2</v>
      </c>
      <c r="BZ138">
        <v>6</v>
      </c>
      <c r="CA138">
        <v>308.690946</v>
      </c>
      <c r="CB138">
        <v>308.690946</v>
      </c>
      <c r="CC138">
        <v>0</v>
      </c>
      <c r="CD138">
        <v>14.2170363</v>
      </c>
      <c r="CE138">
        <v>14.2170363</v>
      </c>
      <c r="CF138">
        <v>0</v>
      </c>
      <c r="CG138">
        <v>16.314914025</v>
      </c>
      <c r="CH138">
        <v>16.348664025000001</v>
      </c>
      <c r="CI138">
        <v>-3.3750000000000002E-2</v>
      </c>
      <c r="CJ138">
        <v>0.10109726099999999</v>
      </c>
      <c r="CK138">
        <v>4.6322195625E-2</v>
      </c>
      <c r="CL138">
        <v>1.11163428E-2</v>
      </c>
      <c r="CM138" s="2">
        <v>1.7599540949999999E-6</v>
      </c>
      <c r="CN138">
        <v>26.488485337499998</v>
      </c>
      <c r="CO138">
        <v>-4.4143363743333</v>
      </c>
      <c r="CP138">
        <v>4.8616047062150001</v>
      </c>
      <c r="CQ138">
        <v>4.8616047062150001</v>
      </c>
      <c r="CR138">
        <v>0</v>
      </c>
      <c r="CS138">
        <v>0.22390553231356999</v>
      </c>
      <c r="CT138">
        <v>0.22390553231356999</v>
      </c>
      <c r="CU138">
        <v>0</v>
      </c>
      <c r="CV138">
        <v>0.25694521926611003</v>
      </c>
      <c r="CW138">
        <v>0.25747675140517001</v>
      </c>
      <c r="CX138">
        <v>-5.3153213905649996E-4</v>
      </c>
      <c r="CY138">
        <v>1.592190915321E-3</v>
      </c>
      <c r="CZ138">
        <v>7.2953291041037E-4</v>
      </c>
      <c r="DA138">
        <v>1.7507239902130999E-4</v>
      </c>
      <c r="DB138" s="2">
        <v>2.7717693770566001E-8</v>
      </c>
    </row>
    <row r="139" spans="1:106" x14ac:dyDescent="0.25">
      <c r="A139">
        <v>25868</v>
      </c>
      <c r="B139" t="s">
        <v>284</v>
      </c>
      <c r="C139">
        <v>50</v>
      </c>
      <c r="D139" t="s">
        <v>261</v>
      </c>
      <c r="E139">
        <v>2</v>
      </c>
      <c r="F139" t="s">
        <v>167</v>
      </c>
      <c r="G139">
        <v>31799.16</v>
      </c>
      <c r="H139" t="s">
        <v>0</v>
      </c>
      <c r="I139">
        <v>4</v>
      </c>
      <c r="J139">
        <v>31799.16</v>
      </c>
      <c r="L139">
        <v>92117.401014000003</v>
      </c>
      <c r="O139">
        <v>796830</v>
      </c>
      <c r="P139" t="s">
        <v>83</v>
      </c>
      <c r="Q139">
        <v>214</v>
      </c>
      <c r="R139" t="s">
        <v>262</v>
      </c>
      <c r="S139" t="s">
        <v>263</v>
      </c>
      <c r="T139">
        <v>500.80816399999998</v>
      </c>
      <c r="W139" t="s">
        <v>86</v>
      </c>
      <c r="Y139">
        <v>1.2500000000000001E-2</v>
      </c>
      <c r="AF139" t="s">
        <v>85</v>
      </c>
      <c r="AG139" t="s">
        <v>6</v>
      </c>
      <c r="AH139" s="1">
        <v>1</v>
      </c>
      <c r="AI139">
        <v>1.2500000000000001E-2</v>
      </c>
      <c r="AJ139">
        <v>700</v>
      </c>
      <c r="AK139">
        <v>8.75</v>
      </c>
      <c r="AM139">
        <v>8.75</v>
      </c>
      <c r="AN139">
        <v>4382.0714349999998</v>
      </c>
      <c r="AO139">
        <v>0.13780462864428</v>
      </c>
      <c r="AP139" t="s">
        <v>0</v>
      </c>
      <c r="AQ139" t="s">
        <v>264</v>
      </c>
      <c r="AR139">
        <v>30360</v>
      </c>
      <c r="AS139" t="s">
        <v>275</v>
      </c>
      <c r="AT139">
        <v>2</v>
      </c>
      <c r="AU139">
        <v>1</v>
      </c>
      <c r="AV139" t="s">
        <v>266</v>
      </c>
      <c r="AW139">
        <v>0</v>
      </c>
      <c r="AX139">
        <v>50</v>
      </c>
      <c r="AY139">
        <v>50</v>
      </c>
      <c r="AZ139" t="s">
        <v>285</v>
      </c>
      <c r="BC139">
        <v>4</v>
      </c>
      <c r="BE139">
        <v>3</v>
      </c>
      <c r="BG139">
        <v>100</v>
      </c>
      <c r="BH139">
        <v>0</v>
      </c>
      <c r="BI139">
        <v>0</v>
      </c>
      <c r="BK139">
        <v>3.5805927999999998</v>
      </c>
      <c r="BL139">
        <v>3.5805927999999998</v>
      </c>
      <c r="BM139">
        <v>0</v>
      </c>
      <c r="BN139">
        <v>0.20303582000000001</v>
      </c>
      <c r="BO139">
        <v>0.20303582000000001</v>
      </c>
      <c r="BP139">
        <v>0</v>
      </c>
      <c r="BQ139">
        <v>0.18132751</v>
      </c>
      <c r="BR139">
        <v>0.21332751</v>
      </c>
      <c r="BS139">
        <v>-3.2000000000000001E-2</v>
      </c>
      <c r="BT139">
        <v>4.7190847999999997E-4</v>
      </c>
      <c r="BU139">
        <v>2.0462567000000001E-4</v>
      </c>
      <c r="BV139" s="2">
        <v>5.7137895E-5</v>
      </c>
      <c r="BW139" s="2">
        <v>2.5000607E-8</v>
      </c>
      <c r="BX139">
        <v>1</v>
      </c>
      <c r="BY139">
        <v>2</v>
      </c>
      <c r="BZ139">
        <v>6</v>
      </c>
      <c r="CA139">
        <v>31.330186999999999</v>
      </c>
      <c r="CB139">
        <v>31.330186999999999</v>
      </c>
      <c r="CC139">
        <v>0</v>
      </c>
      <c r="CD139">
        <v>1.776563425</v>
      </c>
      <c r="CE139">
        <v>1.776563425</v>
      </c>
      <c r="CF139">
        <v>0</v>
      </c>
      <c r="CG139">
        <v>1.5866157125</v>
      </c>
      <c r="CH139">
        <v>1.8666157125</v>
      </c>
      <c r="CI139">
        <v>-0.28000000000000003</v>
      </c>
      <c r="CJ139">
        <v>4.1291992000000001E-3</v>
      </c>
      <c r="CK139">
        <v>1.7904746125E-3</v>
      </c>
      <c r="CL139">
        <v>4.9995658125000003E-4</v>
      </c>
      <c r="CM139" s="2">
        <v>2.1875531124999999E-7</v>
      </c>
      <c r="CN139">
        <v>1.8593354120833001</v>
      </c>
      <c r="CO139">
        <v>-4.4143363743333</v>
      </c>
      <c r="CP139">
        <v>0.49342226113038001</v>
      </c>
      <c r="CQ139">
        <v>0.49342226113038001</v>
      </c>
      <c r="CR139">
        <v>0</v>
      </c>
      <c r="CS139">
        <v>2.7979275776587001E-2</v>
      </c>
      <c r="CT139">
        <v>2.7979275776587001E-2</v>
      </c>
      <c r="CU139">
        <v>0</v>
      </c>
      <c r="CV139">
        <v>2.4987770178542E-2</v>
      </c>
      <c r="CW139">
        <v>2.9397518295158999E-2</v>
      </c>
      <c r="CX139">
        <v>-4.4097481166169E-3</v>
      </c>
      <c r="CY139" s="2">
        <v>6.5031172840486004E-5</v>
      </c>
      <c r="CZ139" s="2">
        <v>2.8198364465437001E-5</v>
      </c>
      <c r="DA139" s="2">
        <v>7.8738664019907995E-6</v>
      </c>
      <c r="DB139" s="2">
        <v>3.4451993635166001E-9</v>
      </c>
    </row>
    <row r="140" spans="1:106" x14ac:dyDescent="0.25">
      <c r="A140">
        <v>25868</v>
      </c>
      <c r="B140" t="s">
        <v>284</v>
      </c>
      <c r="C140">
        <v>50</v>
      </c>
      <c r="D140" t="s">
        <v>261</v>
      </c>
      <c r="E140">
        <v>2</v>
      </c>
      <c r="F140" t="s">
        <v>167</v>
      </c>
      <c r="G140">
        <v>31799.16</v>
      </c>
      <c r="H140" t="s">
        <v>0</v>
      </c>
      <c r="I140">
        <v>4</v>
      </c>
      <c r="J140">
        <v>31799.16</v>
      </c>
      <c r="L140">
        <v>92117.401014000003</v>
      </c>
      <c r="O140">
        <v>796830</v>
      </c>
      <c r="P140" t="s">
        <v>83</v>
      </c>
      <c r="Q140">
        <v>214</v>
      </c>
      <c r="R140" t="s">
        <v>262</v>
      </c>
      <c r="S140" t="s">
        <v>263</v>
      </c>
      <c r="T140">
        <v>500.80816399999998</v>
      </c>
      <c r="V140">
        <v>2142685464</v>
      </c>
      <c r="W140" t="s">
        <v>14</v>
      </c>
      <c r="Y140">
        <v>2E-3</v>
      </c>
      <c r="AF140" t="s">
        <v>85</v>
      </c>
      <c r="AG140" t="s">
        <v>6</v>
      </c>
      <c r="AH140" s="1">
        <v>1</v>
      </c>
      <c r="AI140">
        <v>2E-3</v>
      </c>
      <c r="AJ140">
        <v>1300</v>
      </c>
      <c r="AK140">
        <v>2.6</v>
      </c>
      <c r="AM140">
        <v>2.6</v>
      </c>
      <c r="AN140">
        <v>1302.1012264000001</v>
      </c>
      <c r="AO140">
        <v>4.0947661082870998E-2</v>
      </c>
      <c r="AP140" t="s">
        <v>0</v>
      </c>
      <c r="AQ140" t="s">
        <v>264</v>
      </c>
      <c r="AR140">
        <v>30360</v>
      </c>
      <c r="AS140" t="s">
        <v>275</v>
      </c>
      <c r="AT140">
        <v>3</v>
      </c>
      <c r="AU140">
        <v>1</v>
      </c>
      <c r="AV140" t="s">
        <v>266</v>
      </c>
      <c r="AW140">
        <v>1</v>
      </c>
      <c r="AX140">
        <v>35</v>
      </c>
      <c r="AY140">
        <v>35</v>
      </c>
      <c r="AZ140" t="s">
        <v>287</v>
      </c>
      <c r="BC140">
        <v>2</v>
      </c>
      <c r="BE140">
        <v>3</v>
      </c>
      <c r="BG140">
        <v>100</v>
      </c>
      <c r="BH140">
        <v>0</v>
      </c>
      <c r="BI140">
        <v>0</v>
      </c>
      <c r="BK140">
        <v>2.0832495</v>
      </c>
      <c r="BL140">
        <v>2.0832495</v>
      </c>
      <c r="BM140">
        <v>0</v>
      </c>
      <c r="BN140">
        <v>0.32445808999999998</v>
      </c>
      <c r="BO140">
        <v>0.32445808999999998</v>
      </c>
      <c r="BP140">
        <v>0</v>
      </c>
      <c r="BQ140">
        <v>0.17529323999999999</v>
      </c>
      <c r="BR140">
        <v>0.17729323999999999</v>
      </c>
      <c r="BS140">
        <v>-2E-3</v>
      </c>
      <c r="BT140">
        <v>4.9332165000000002E-4</v>
      </c>
      <c r="BU140">
        <v>2.038571E-4</v>
      </c>
      <c r="BV140" s="2">
        <v>6.4315664999999996E-5</v>
      </c>
      <c r="BW140" s="2">
        <v>1.4918986000000002E-8</v>
      </c>
      <c r="BX140">
        <v>0</v>
      </c>
      <c r="BY140">
        <v>2</v>
      </c>
      <c r="BZ140">
        <v>6</v>
      </c>
      <c r="CA140">
        <v>10.8328974</v>
      </c>
      <c r="CB140">
        <v>10.8328974</v>
      </c>
      <c r="CC140">
        <v>0</v>
      </c>
      <c r="CD140">
        <v>1.687182068</v>
      </c>
      <c r="CE140">
        <v>1.687182068</v>
      </c>
      <c r="CF140">
        <v>0</v>
      </c>
      <c r="CG140">
        <v>0.91672484799999998</v>
      </c>
      <c r="CH140">
        <v>0.92192484799999996</v>
      </c>
      <c r="CI140">
        <v>-5.1999999999999998E-3</v>
      </c>
      <c r="CJ140">
        <v>2.5652725799999998E-3</v>
      </c>
      <c r="CK140">
        <v>1.06005692E-3</v>
      </c>
      <c r="CL140">
        <v>3.34441458E-4</v>
      </c>
      <c r="CM140" s="2">
        <v>7.7578727200000002E-8</v>
      </c>
      <c r="CN140">
        <v>0.85592039866667002</v>
      </c>
      <c r="CO140">
        <v>-4.4143363743333</v>
      </c>
      <c r="CP140">
        <v>0.17060838895412</v>
      </c>
      <c r="CQ140">
        <v>0.17060838895412</v>
      </c>
      <c r="CR140">
        <v>0</v>
      </c>
      <c r="CS140">
        <v>2.6571599809832001E-2</v>
      </c>
      <c r="CT140">
        <v>2.6571599809832001E-2</v>
      </c>
      <c r="CU140">
        <v>0</v>
      </c>
      <c r="CV140">
        <v>1.4437591685443001E-2</v>
      </c>
      <c r="CW140">
        <v>1.4519487007608E-2</v>
      </c>
      <c r="CX140" s="2">
        <v>-8.1895322165743004E-5</v>
      </c>
      <c r="CY140" s="2">
        <v>4.0400735458085999E-5</v>
      </c>
      <c r="CZ140" s="2">
        <v>1.6694942880274E-5</v>
      </c>
      <c r="DA140" s="2">
        <v>5.267152105479E-6</v>
      </c>
      <c r="DB140" s="2">
        <v>1.2217951648562E-9</v>
      </c>
    </row>
    <row r="141" spans="1:106" x14ac:dyDescent="0.25">
      <c r="A141">
        <v>25868</v>
      </c>
      <c r="B141" t="s">
        <v>284</v>
      </c>
      <c r="C141">
        <v>50</v>
      </c>
      <c r="D141" t="s">
        <v>261</v>
      </c>
      <c r="E141">
        <v>2</v>
      </c>
      <c r="F141" t="s">
        <v>167</v>
      </c>
      <c r="G141">
        <v>31799.16</v>
      </c>
      <c r="H141" t="s">
        <v>0</v>
      </c>
      <c r="I141">
        <v>4</v>
      </c>
      <c r="J141">
        <v>31799.16</v>
      </c>
      <c r="L141">
        <v>92117.401014000003</v>
      </c>
      <c r="O141">
        <v>796830</v>
      </c>
      <c r="P141" t="s">
        <v>83</v>
      </c>
      <c r="Q141">
        <v>214</v>
      </c>
      <c r="R141" t="s">
        <v>262</v>
      </c>
      <c r="S141" t="s">
        <v>263</v>
      </c>
      <c r="T141">
        <v>500.80816399999998</v>
      </c>
      <c r="W141" t="s">
        <v>86</v>
      </c>
      <c r="Y141">
        <v>1.2500000000000001E-2</v>
      </c>
      <c r="AF141" t="s">
        <v>85</v>
      </c>
      <c r="AG141" t="s">
        <v>6</v>
      </c>
      <c r="AH141" s="1">
        <v>1</v>
      </c>
      <c r="AI141">
        <v>1.2500000000000001E-2</v>
      </c>
      <c r="AJ141">
        <v>700</v>
      </c>
      <c r="AK141">
        <v>8.75</v>
      </c>
      <c r="AM141">
        <v>8.75</v>
      </c>
      <c r="AN141">
        <v>4382.0714349999998</v>
      </c>
      <c r="AO141">
        <v>0.13780462864428</v>
      </c>
      <c r="AP141" t="s">
        <v>0</v>
      </c>
      <c r="AQ141" t="s">
        <v>264</v>
      </c>
      <c r="AR141">
        <v>30360</v>
      </c>
      <c r="AS141" t="s">
        <v>275</v>
      </c>
      <c r="AT141">
        <v>4</v>
      </c>
      <c r="AU141">
        <v>1</v>
      </c>
      <c r="AV141" t="s">
        <v>266</v>
      </c>
      <c r="AW141">
        <v>0</v>
      </c>
      <c r="AX141">
        <v>50</v>
      </c>
      <c r="AY141">
        <v>50</v>
      </c>
      <c r="AZ141" t="s">
        <v>285</v>
      </c>
      <c r="BC141">
        <v>4</v>
      </c>
      <c r="BE141">
        <v>3</v>
      </c>
      <c r="BG141">
        <v>100</v>
      </c>
      <c r="BH141">
        <v>0</v>
      </c>
      <c r="BI141">
        <v>0</v>
      </c>
      <c r="BK141">
        <v>3.5805927999999998</v>
      </c>
      <c r="BL141">
        <v>3.5805927999999998</v>
      </c>
      <c r="BM141">
        <v>0</v>
      </c>
      <c r="BN141">
        <v>0.20303582000000001</v>
      </c>
      <c r="BO141">
        <v>0.20303582000000001</v>
      </c>
      <c r="BP141">
        <v>0</v>
      </c>
      <c r="BQ141">
        <v>0.18132751</v>
      </c>
      <c r="BR141">
        <v>0.21332751</v>
      </c>
      <c r="BS141">
        <v>-3.2000000000000001E-2</v>
      </c>
      <c r="BT141">
        <v>4.7190847999999997E-4</v>
      </c>
      <c r="BU141">
        <v>2.0462567000000001E-4</v>
      </c>
      <c r="BV141" s="2">
        <v>5.7137895E-5</v>
      </c>
      <c r="BW141" s="2">
        <v>2.5000607E-8</v>
      </c>
      <c r="BX141">
        <v>1</v>
      </c>
      <c r="BY141">
        <v>2</v>
      </c>
      <c r="BZ141">
        <v>6</v>
      </c>
      <c r="CA141">
        <v>31.330186999999999</v>
      </c>
      <c r="CB141">
        <v>31.330186999999999</v>
      </c>
      <c r="CC141">
        <v>0</v>
      </c>
      <c r="CD141">
        <v>1.776563425</v>
      </c>
      <c r="CE141">
        <v>1.776563425</v>
      </c>
      <c r="CF141">
        <v>0</v>
      </c>
      <c r="CG141">
        <v>1.5866157125</v>
      </c>
      <c r="CH141">
        <v>1.8666157125</v>
      </c>
      <c r="CI141">
        <v>-0.28000000000000003</v>
      </c>
      <c r="CJ141">
        <v>4.1291992000000001E-3</v>
      </c>
      <c r="CK141">
        <v>1.7904746125E-3</v>
      </c>
      <c r="CL141">
        <v>4.9995658125000003E-4</v>
      </c>
      <c r="CM141" s="2">
        <v>2.1875531124999999E-7</v>
      </c>
      <c r="CN141">
        <v>1.8593354120833001</v>
      </c>
      <c r="CO141">
        <v>-4.4143363743333</v>
      </c>
      <c r="CP141">
        <v>0.49342226113038001</v>
      </c>
      <c r="CQ141">
        <v>0.49342226113038001</v>
      </c>
      <c r="CR141">
        <v>0</v>
      </c>
      <c r="CS141">
        <v>2.7979275776587001E-2</v>
      </c>
      <c r="CT141">
        <v>2.7979275776587001E-2</v>
      </c>
      <c r="CU141">
        <v>0</v>
      </c>
      <c r="CV141">
        <v>2.4987770178542E-2</v>
      </c>
      <c r="CW141">
        <v>2.9397518295158999E-2</v>
      </c>
      <c r="CX141">
        <v>-4.4097481166169E-3</v>
      </c>
      <c r="CY141" s="2">
        <v>6.5031172840486004E-5</v>
      </c>
      <c r="CZ141" s="2">
        <v>2.8198364465437001E-5</v>
      </c>
      <c r="DA141" s="2">
        <v>7.8738664019907995E-6</v>
      </c>
      <c r="DB141" s="2">
        <v>3.4451993635166001E-9</v>
      </c>
    </row>
    <row r="142" spans="1:106" x14ac:dyDescent="0.25">
      <c r="A142">
        <v>25868</v>
      </c>
      <c r="B142" t="s">
        <v>284</v>
      </c>
      <c r="C142">
        <v>50</v>
      </c>
      <c r="D142" t="s">
        <v>261</v>
      </c>
      <c r="E142">
        <v>2</v>
      </c>
      <c r="F142" t="s">
        <v>167</v>
      </c>
      <c r="G142">
        <v>31799.16</v>
      </c>
      <c r="H142" t="s">
        <v>0</v>
      </c>
      <c r="I142">
        <v>4</v>
      </c>
      <c r="J142">
        <v>31799.16</v>
      </c>
      <c r="L142">
        <v>92117.401014000003</v>
      </c>
      <c r="O142">
        <v>796830</v>
      </c>
      <c r="P142" t="s">
        <v>83</v>
      </c>
      <c r="Q142">
        <v>214</v>
      </c>
      <c r="R142" t="s">
        <v>262</v>
      </c>
      <c r="S142" t="s">
        <v>263</v>
      </c>
      <c r="T142">
        <v>500.80816399999998</v>
      </c>
      <c r="V142">
        <v>2142685464</v>
      </c>
      <c r="W142" t="s">
        <v>14</v>
      </c>
      <c r="Y142">
        <v>2E-3</v>
      </c>
      <c r="AF142" t="s">
        <v>85</v>
      </c>
      <c r="AG142" t="s">
        <v>6</v>
      </c>
      <c r="AH142" s="1">
        <v>1</v>
      </c>
      <c r="AI142">
        <v>2E-3</v>
      </c>
      <c r="AJ142">
        <v>1300</v>
      </c>
      <c r="AK142">
        <v>2.6</v>
      </c>
      <c r="AM142">
        <v>2.6</v>
      </c>
      <c r="AN142">
        <v>1302.1012264000001</v>
      </c>
      <c r="AO142">
        <v>4.0947661082870998E-2</v>
      </c>
      <c r="AP142" t="s">
        <v>0</v>
      </c>
      <c r="AQ142" t="s">
        <v>264</v>
      </c>
      <c r="AR142">
        <v>30360</v>
      </c>
      <c r="AS142" t="s">
        <v>275</v>
      </c>
      <c r="AT142">
        <v>5</v>
      </c>
      <c r="AU142">
        <v>1</v>
      </c>
      <c r="AV142" t="s">
        <v>266</v>
      </c>
      <c r="AW142">
        <v>1</v>
      </c>
      <c r="AX142">
        <v>35</v>
      </c>
      <c r="AY142">
        <v>35</v>
      </c>
      <c r="AZ142" t="s">
        <v>287</v>
      </c>
      <c r="BC142">
        <v>2</v>
      </c>
      <c r="BE142">
        <v>3</v>
      </c>
      <c r="BG142">
        <v>100</v>
      </c>
      <c r="BH142">
        <v>0</v>
      </c>
      <c r="BI142">
        <v>0</v>
      </c>
      <c r="BK142">
        <v>2.0832495</v>
      </c>
      <c r="BL142">
        <v>2.0832495</v>
      </c>
      <c r="BM142">
        <v>0</v>
      </c>
      <c r="BN142">
        <v>0.32445808999999998</v>
      </c>
      <c r="BO142">
        <v>0.32445808999999998</v>
      </c>
      <c r="BP142">
        <v>0</v>
      </c>
      <c r="BQ142">
        <v>0.17529323999999999</v>
      </c>
      <c r="BR142">
        <v>0.17729323999999999</v>
      </c>
      <c r="BS142">
        <v>-2E-3</v>
      </c>
      <c r="BT142">
        <v>4.9332165000000002E-4</v>
      </c>
      <c r="BU142">
        <v>2.038571E-4</v>
      </c>
      <c r="BV142" s="2">
        <v>6.4315664999999996E-5</v>
      </c>
      <c r="BW142" s="2">
        <v>1.4918986000000002E-8</v>
      </c>
      <c r="BX142">
        <v>0</v>
      </c>
      <c r="BY142">
        <v>2</v>
      </c>
      <c r="BZ142">
        <v>6</v>
      </c>
      <c r="CA142">
        <v>10.8328974</v>
      </c>
      <c r="CB142">
        <v>10.8328974</v>
      </c>
      <c r="CC142">
        <v>0</v>
      </c>
      <c r="CD142">
        <v>1.687182068</v>
      </c>
      <c r="CE142">
        <v>1.687182068</v>
      </c>
      <c r="CF142">
        <v>0</v>
      </c>
      <c r="CG142">
        <v>0.91672484799999998</v>
      </c>
      <c r="CH142">
        <v>0.92192484799999996</v>
      </c>
      <c r="CI142">
        <v>-5.1999999999999998E-3</v>
      </c>
      <c r="CJ142">
        <v>2.5652725799999998E-3</v>
      </c>
      <c r="CK142">
        <v>1.06005692E-3</v>
      </c>
      <c r="CL142">
        <v>3.34441458E-4</v>
      </c>
      <c r="CM142" s="2">
        <v>7.7578727200000002E-8</v>
      </c>
      <c r="CN142">
        <v>0.85592039866667002</v>
      </c>
      <c r="CO142">
        <v>-4.4143363743333</v>
      </c>
      <c r="CP142">
        <v>0.17060838895412</v>
      </c>
      <c r="CQ142">
        <v>0.17060838895412</v>
      </c>
      <c r="CR142">
        <v>0</v>
      </c>
      <c r="CS142">
        <v>2.6571599809832001E-2</v>
      </c>
      <c r="CT142">
        <v>2.6571599809832001E-2</v>
      </c>
      <c r="CU142">
        <v>0</v>
      </c>
      <c r="CV142">
        <v>1.4437591685443001E-2</v>
      </c>
      <c r="CW142">
        <v>1.4519487007608E-2</v>
      </c>
      <c r="CX142" s="2">
        <v>-8.1895322165743004E-5</v>
      </c>
      <c r="CY142" s="2">
        <v>4.0400735458085999E-5</v>
      </c>
      <c r="CZ142" s="2">
        <v>1.6694942880274E-5</v>
      </c>
      <c r="DA142" s="2">
        <v>5.267152105479E-6</v>
      </c>
      <c r="DB142" s="2">
        <v>1.2217951648562E-9</v>
      </c>
    </row>
    <row r="143" spans="1:106" x14ac:dyDescent="0.25">
      <c r="A143">
        <v>25868</v>
      </c>
      <c r="B143" t="s">
        <v>284</v>
      </c>
      <c r="C143">
        <v>50</v>
      </c>
      <c r="D143" t="s">
        <v>261</v>
      </c>
      <c r="E143">
        <v>2</v>
      </c>
      <c r="F143" t="s">
        <v>167</v>
      </c>
      <c r="G143">
        <v>31799.16</v>
      </c>
      <c r="H143" t="s">
        <v>0</v>
      </c>
      <c r="I143">
        <v>4</v>
      </c>
      <c r="J143">
        <v>31799.16</v>
      </c>
      <c r="L143">
        <v>92117.401014000003</v>
      </c>
      <c r="O143">
        <v>796842</v>
      </c>
      <c r="P143" t="s">
        <v>87</v>
      </c>
      <c r="Q143">
        <v>208</v>
      </c>
      <c r="R143" t="s">
        <v>268</v>
      </c>
      <c r="S143" t="s">
        <v>266</v>
      </c>
      <c r="T143">
        <v>261</v>
      </c>
      <c r="W143" t="s">
        <v>16</v>
      </c>
      <c r="AF143" t="s">
        <v>88</v>
      </c>
      <c r="AG143" t="s">
        <v>89</v>
      </c>
      <c r="AH143" s="1">
        <v>1</v>
      </c>
      <c r="AL143">
        <v>1507</v>
      </c>
      <c r="AM143">
        <v>5.7739463601532997</v>
      </c>
      <c r="AN143">
        <v>1507</v>
      </c>
      <c r="AO143">
        <v>4.7391188949645002E-2</v>
      </c>
      <c r="AP143" t="s">
        <v>88</v>
      </c>
      <c r="AQ143" t="s">
        <v>264</v>
      </c>
      <c r="AR143">
        <v>30359</v>
      </c>
      <c r="AS143" t="s">
        <v>304</v>
      </c>
      <c r="AU143">
        <v>1</v>
      </c>
      <c r="AV143" t="s">
        <v>263</v>
      </c>
      <c r="AW143">
        <v>0</v>
      </c>
      <c r="AX143">
        <v>100</v>
      </c>
      <c r="AY143">
        <v>100</v>
      </c>
      <c r="AZ143" t="s">
        <v>267</v>
      </c>
      <c r="BK143">
        <v>1.5660049</v>
      </c>
      <c r="BL143">
        <v>1.5660049</v>
      </c>
      <c r="BM143">
        <v>0</v>
      </c>
      <c r="BN143">
        <v>4.7475960999999997E-2</v>
      </c>
      <c r="BO143">
        <v>4.7475960999999997E-2</v>
      </c>
      <c r="BP143">
        <v>0</v>
      </c>
      <c r="BQ143">
        <v>0.15291231999999999</v>
      </c>
      <c r="BR143">
        <v>0.15291231999999999</v>
      </c>
      <c r="BS143">
        <v>0</v>
      </c>
      <c r="BT143">
        <v>3.9132148000000001E-4</v>
      </c>
      <c r="BU143">
        <v>2.4656103E-4</v>
      </c>
      <c r="BV143" s="2">
        <v>7.7190705E-5</v>
      </c>
      <c r="BW143" s="2">
        <v>4.5130751999999996E-9</v>
      </c>
      <c r="BX143">
        <v>1</v>
      </c>
      <c r="BY143">
        <v>3</v>
      </c>
      <c r="BZ143">
        <v>6</v>
      </c>
      <c r="CA143">
        <v>2359.9693843</v>
      </c>
      <c r="CB143">
        <v>2359.9693843</v>
      </c>
      <c r="CC143">
        <v>0</v>
      </c>
      <c r="CD143">
        <v>71.546273227</v>
      </c>
      <c r="CE143">
        <v>71.546273227</v>
      </c>
      <c r="CF143">
        <v>0</v>
      </c>
      <c r="CG143">
        <v>230.43886624000001</v>
      </c>
      <c r="CH143">
        <v>230.43886624000001</v>
      </c>
      <c r="CI143">
        <v>0</v>
      </c>
      <c r="CJ143">
        <v>0.58972147036</v>
      </c>
      <c r="CK143">
        <v>0.37156747221000003</v>
      </c>
      <c r="CL143">
        <v>0.116326392435</v>
      </c>
      <c r="CM143" s="2">
        <v>6.8012043264000003E-6</v>
      </c>
      <c r="CN143">
        <v>195.70165323133</v>
      </c>
      <c r="CO143">
        <v>159.36831989800001</v>
      </c>
      <c r="CP143">
        <v>19.370071703223999</v>
      </c>
      <c r="CQ143">
        <v>19.370071703223999</v>
      </c>
      <c r="CR143">
        <v>0</v>
      </c>
      <c r="CS143">
        <v>0.58723492420072998</v>
      </c>
      <c r="CT143">
        <v>0.58723492420072998</v>
      </c>
      <c r="CU143">
        <v>0</v>
      </c>
      <c r="CV143">
        <v>1.8913878256104999</v>
      </c>
      <c r="CW143">
        <v>1.8913878256104999</v>
      </c>
      <c r="CX143">
        <v>0</v>
      </c>
      <c r="CY143">
        <v>4.8402946418697997E-3</v>
      </c>
      <c r="CZ143">
        <v>3.0497381140510999E-3</v>
      </c>
      <c r="DA143">
        <v>9.5477957359676004E-4</v>
      </c>
      <c r="DB143" s="2">
        <v>5.5822679881808001E-8</v>
      </c>
    </row>
    <row r="144" spans="1:106" x14ac:dyDescent="0.25">
      <c r="A144">
        <v>25868</v>
      </c>
      <c r="B144" t="s">
        <v>284</v>
      </c>
      <c r="C144">
        <v>50</v>
      </c>
      <c r="D144" t="s">
        <v>261</v>
      </c>
      <c r="E144">
        <v>2</v>
      </c>
      <c r="F144" t="s">
        <v>167</v>
      </c>
      <c r="G144">
        <v>31799.16</v>
      </c>
      <c r="H144" t="s">
        <v>0</v>
      </c>
      <c r="I144">
        <v>4</v>
      </c>
      <c r="J144">
        <v>31799.16</v>
      </c>
      <c r="L144">
        <v>92117.401014000003</v>
      </c>
      <c r="O144">
        <v>796837</v>
      </c>
      <c r="P144" t="s">
        <v>90</v>
      </c>
      <c r="Q144">
        <v>208</v>
      </c>
      <c r="R144" t="s">
        <v>268</v>
      </c>
      <c r="S144" t="s">
        <v>266</v>
      </c>
      <c r="T144">
        <v>240</v>
      </c>
      <c r="W144" t="s">
        <v>16</v>
      </c>
      <c r="AF144" t="s">
        <v>88</v>
      </c>
      <c r="AG144" t="s">
        <v>89</v>
      </c>
      <c r="AH144" s="1">
        <v>1</v>
      </c>
      <c r="AL144">
        <v>575</v>
      </c>
      <c r="AM144">
        <v>2.3958333333333002</v>
      </c>
      <c r="AN144">
        <v>575</v>
      </c>
      <c r="AO144">
        <v>1.8082238650328999E-2</v>
      </c>
      <c r="AP144" t="s">
        <v>88</v>
      </c>
      <c r="AQ144" t="s">
        <v>264</v>
      </c>
      <c r="AR144">
        <v>30359</v>
      </c>
      <c r="AS144" t="s">
        <v>304</v>
      </c>
      <c r="AU144">
        <v>1</v>
      </c>
      <c r="AV144" t="s">
        <v>263</v>
      </c>
      <c r="AW144">
        <v>0</v>
      </c>
      <c r="AX144">
        <v>100</v>
      </c>
      <c r="AY144">
        <v>100</v>
      </c>
      <c r="AZ144" t="s">
        <v>267</v>
      </c>
      <c r="BK144">
        <v>1.5660049</v>
      </c>
      <c r="BL144">
        <v>1.5660049</v>
      </c>
      <c r="BM144">
        <v>0</v>
      </c>
      <c r="BN144">
        <v>4.7475960999999997E-2</v>
      </c>
      <c r="BO144">
        <v>4.7475960999999997E-2</v>
      </c>
      <c r="BP144">
        <v>0</v>
      </c>
      <c r="BQ144">
        <v>0.15291231999999999</v>
      </c>
      <c r="BR144">
        <v>0.15291231999999999</v>
      </c>
      <c r="BS144">
        <v>0</v>
      </c>
      <c r="BT144">
        <v>3.9132148000000001E-4</v>
      </c>
      <c r="BU144">
        <v>2.4656103E-4</v>
      </c>
      <c r="BV144" s="2">
        <v>7.7190705E-5</v>
      </c>
      <c r="BW144" s="2">
        <v>4.5130751999999996E-9</v>
      </c>
      <c r="BX144">
        <v>1</v>
      </c>
      <c r="BY144">
        <v>3</v>
      </c>
      <c r="BZ144">
        <v>6</v>
      </c>
      <c r="CA144">
        <v>900.45281750000004</v>
      </c>
      <c r="CB144">
        <v>900.45281750000004</v>
      </c>
      <c r="CC144">
        <v>0</v>
      </c>
      <c r="CD144">
        <v>27.298677574999999</v>
      </c>
      <c r="CE144">
        <v>27.298677574999999</v>
      </c>
      <c r="CF144">
        <v>0</v>
      </c>
      <c r="CG144">
        <v>87.924583999999996</v>
      </c>
      <c r="CH144">
        <v>87.924583999999996</v>
      </c>
      <c r="CI144">
        <v>0</v>
      </c>
      <c r="CJ144">
        <v>0.22500985100000001</v>
      </c>
      <c r="CK144">
        <v>0.14177259225</v>
      </c>
      <c r="CL144">
        <v>4.4384655374999998E-2</v>
      </c>
      <c r="CM144" s="2">
        <v>2.5950182399999998E-6</v>
      </c>
      <c r="CN144">
        <v>74.670504716666997</v>
      </c>
      <c r="CO144">
        <v>38.337171383333001</v>
      </c>
      <c r="CP144">
        <v>6.7960498390524</v>
      </c>
      <c r="CQ144">
        <v>6.7960498390524</v>
      </c>
      <c r="CR144">
        <v>0</v>
      </c>
      <c r="CS144">
        <v>0.20603319766937001</v>
      </c>
      <c r="CT144">
        <v>0.20603319766937001</v>
      </c>
      <c r="CU144">
        <v>0</v>
      </c>
      <c r="CV144">
        <v>0.66359929507572002</v>
      </c>
      <c r="CW144">
        <v>0.66359929507572002</v>
      </c>
      <c r="CX144">
        <v>0</v>
      </c>
      <c r="CY144">
        <v>1.6982324136864001E-3</v>
      </c>
      <c r="CZ144">
        <v>1.0700100927194E-3</v>
      </c>
      <c r="DA144">
        <v>3.3498737985532002E-4</v>
      </c>
      <c r="DB144" s="2">
        <v>1.9585560675188001E-8</v>
      </c>
    </row>
    <row r="145" spans="1:106" x14ac:dyDescent="0.25">
      <c r="A145">
        <v>25868</v>
      </c>
      <c r="B145" t="s">
        <v>284</v>
      </c>
      <c r="C145">
        <v>50</v>
      </c>
      <c r="D145" t="s">
        <v>261</v>
      </c>
      <c r="E145">
        <v>2</v>
      </c>
      <c r="F145" t="s">
        <v>167</v>
      </c>
      <c r="G145">
        <v>31799.16</v>
      </c>
      <c r="H145" t="s">
        <v>0</v>
      </c>
      <c r="I145">
        <v>4</v>
      </c>
      <c r="J145">
        <v>31799.16</v>
      </c>
      <c r="L145">
        <v>92117.401014000003</v>
      </c>
      <c r="O145">
        <v>796841</v>
      </c>
      <c r="P145" t="s">
        <v>91</v>
      </c>
      <c r="Q145">
        <v>208</v>
      </c>
      <c r="R145" t="s">
        <v>268</v>
      </c>
      <c r="S145" t="s">
        <v>266</v>
      </c>
      <c r="T145">
        <v>20</v>
      </c>
      <c r="W145" t="s">
        <v>16</v>
      </c>
      <c r="AF145" t="s">
        <v>88</v>
      </c>
      <c r="AG145" t="s">
        <v>89</v>
      </c>
      <c r="AH145" s="1">
        <v>1</v>
      </c>
      <c r="AL145">
        <v>607</v>
      </c>
      <c r="AM145">
        <v>30.35</v>
      </c>
      <c r="AN145">
        <v>607</v>
      </c>
      <c r="AO145">
        <v>1.9088554540434E-2</v>
      </c>
      <c r="AP145" t="s">
        <v>88</v>
      </c>
      <c r="AQ145" t="s">
        <v>264</v>
      </c>
      <c r="AR145">
        <v>30359</v>
      </c>
      <c r="AS145" t="s">
        <v>304</v>
      </c>
      <c r="AU145">
        <v>1</v>
      </c>
      <c r="AV145" t="s">
        <v>263</v>
      </c>
      <c r="AW145">
        <v>0</v>
      </c>
      <c r="AX145">
        <v>100</v>
      </c>
      <c r="AY145">
        <v>100</v>
      </c>
      <c r="AZ145" t="s">
        <v>267</v>
      </c>
      <c r="BK145">
        <v>1.5660049</v>
      </c>
      <c r="BL145">
        <v>1.5660049</v>
      </c>
      <c r="BM145">
        <v>0</v>
      </c>
      <c r="BN145">
        <v>4.7475960999999997E-2</v>
      </c>
      <c r="BO145">
        <v>4.7475960999999997E-2</v>
      </c>
      <c r="BP145">
        <v>0</v>
      </c>
      <c r="BQ145">
        <v>0.15291231999999999</v>
      </c>
      <c r="BR145">
        <v>0.15291231999999999</v>
      </c>
      <c r="BS145">
        <v>0</v>
      </c>
      <c r="BT145">
        <v>3.9132148000000001E-4</v>
      </c>
      <c r="BU145">
        <v>2.4656103E-4</v>
      </c>
      <c r="BV145" s="2">
        <v>7.7190705E-5</v>
      </c>
      <c r="BW145" s="2">
        <v>4.5130751999999996E-9</v>
      </c>
      <c r="BX145">
        <v>1</v>
      </c>
      <c r="BY145">
        <v>3</v>
      </c>
      <c r="BZ145">
        <v>6</v>
      </c>
      <c r="CA145">
        <v>950.56497430000002</v>
      </c>
      <c r="CB145">
        <v>950.56497430000002</v>
      </c>
      <c r="CC145">
        <v>0</v>
      </c>
      <c r="CD145">
        <v>28.817908327000001</v>
      </c>
      <c r="CE145">
        <v>28.817908327000001</v>
      </c>
      <c r="CF145">
        <v>0</v>
      </c>
      <c r="CG145">
        <v>92.817778239999996</v>
      </c>
      <c r="CH145">
        <v>92.817778239999996</v>
      </c>
      <c r="CI145">
        <v>0</v>
      </c>
      <c r="CJ145">
        <v>0.23753213836000001</v>
      </c>
      <c r="CK145">
        <v>0.14966254521</v>
      </c>
      <c r="CL145">
        <v>4.6854757934999998E-2</v>
      </c>
      <c r="CM145" s="2">
        <v>2.7394366464E-6</v>
      </c>
      <c r="CN145">
        <v>78.826080631332999</v>
      </c>
      <c r="CO145">
        <v>42.492747297999998</v>
      </c>
      <c r="CP145">
        <v>0.59785539888475003</v>
      </c>
      <c r="CQ145">
        <v>0.59785539888475003</v>
      </c>
      <c r="CR145">
        <v>0</v>
      </c>
      <c r="CS145">
        <v>1.8124949418161E-2</v>
      </c>
      <c r="CT145">
        <v>1.8124949418161E-2</v>
      </c>
      <c r="CU145">
        <v>0</v>
      </c>
      <c r="CV145">
        <v>5.8377503204487001E-2</v>
      </c>
      <c r="CW145">
        <v>5.8377503204487001E-2</v>
      </c>
      <c r="CX145">
        <v>0</v>
      </c>
      <c r="CY145">
        <v>1.4939522827646999E-4</v>
      </c>
      <c r="CZ145" s="2">
        <v>9.4129873374013999E-5</v>
      </c>
      <c r="DA145" s="2">
        <v>2.9469179648142E-5</v>
      </c>
      <c r="DB145" s="2">
        <v>1.7229616420056E-9</v>
      </c>
    </row>
    <row r="146" spans="1:106" x14ac:dyDescent="0.25">
      <c r="A146">
        <v>25868</v>
      </c>
      <c r="B146" t="s">
        <v>284</v>
      </c>
      <c r="C146">
        <v>50</v>
      </c>
      <c r="D146" t="s">
        <v>261</v>
      </c>
      <c r="E146">
        <v>2</v>
      </c>
      <c r="F146" t="s">
        <v>167</v>
      </c>
      <c r="G146">
        <v>31799.16</v>
      </c>
      <c r="H146" t="s">
        <v>0</v>
      </c>
      <c r="I146">
        <v>4</v>
      </c>
      <c r="J146">
        <v>31799.16</v>
      </c>
      <c r="L146">
        <v>92117.401014000003</v>
      </c>
      <c r="O146">
        <v>796847</v>
      </c>
      <c r="P146" t="s">
        <v>92</v>
      </c>
      <c r="Q146">
        <v>250</v>
      </c>
      <c r="R146" t="s">
        <v>262</v>
      </c>
      <c r="S146" t="s">
        <v>263</v>
      </c>
      <c r="T146">
        <v>800</v>
      </c>
      <c r="W146" t="s">
        <v>16</v>
      </c>
      <c r="Y146">
        <v>0.15</v>
      </c>
      <c r="AF146" t="s">
        <v>68</v>
      </c>
      <c r="AG146" t="s">
        <v>68</v>
      </c>
      <c r="AH146" s="1">
        <v>1</v>
      </c>
      <c r="AI146">
        <v>0.15</v>
      </c>
      <c r="AJ146">
        <v>2325</v>
      </c>
      <c r="AK146">
        <v>348.75</v>
      </c>
      <c r="AM146">
        <v>348.75</v>
      </c>
      <c r="AN146">
        <v>279000</v>
      </c>
      <c r="AO146">
        <v>8.7738166668553994</v>
      </c>
      <c r="AP146" t="s">
        <v>0</v>
      </c>
      <c r="AQ146" t="s">
        <v>264</v>
      </c>
      <c r="AR146">
        <v>30363</v>
      </c>
      <c r="AS146" t="s">
        <v>305</v>
      </c>
      <c r="AT146">
        <v>1</v>
      </c>
      <c r="AU146">
        <v>1</v>
      </c>
      <c r="AV146" t="s">
        <v>266</v>
      </c>
      <c r="AW146">
        <v>0</v>
      </c>
      <c r="AX146">
        <v>100</v>
      </c>
      <c r="AY146">
        <v>100</v>
      </c>
      <c r="AZ146" t="s">
        <v>267</v>
      </c>
      <c r="BK146">
        <v>1.5660049</v>
      </c>
      <c r="BL146">
        <v>1.5660049</v>
      </c>
      <c r="BM146">
        <v>0</v>
      </c>
      <c r="BN146">
        <v>4.7475960999999997E-2</v>
      </c>
      <c r="BO146">
        <v>4.7475960999999997E-2</v>
      </c>
      <c r="BP146">
        <v>0</v>
      </c>
      <c r="BQ146">
        <v>0.15291231999999999</v>
      </c>
      <c r="BR146">
        <v>0.15291231999999999</v>
      </c>
      <c r="BS146">
        <v>0</v>
      </c>
      <c r="BT146">
        <v>3.9132148000000001E-4</v>
      </c>
      <c r="BU146">
        <v>2.4656103E-4</v>
      </c>
      <c r="BV146" s="2">
        <v>7.7190705E-5</v>
      </c>
      <c r="BW146" s="2">
        <v>4.5130751999999996E-9</v>
      </c>
      <c r="BX146">
        <v>0</v>
      </c>
      <c r="BY146">
        <v>4</v>
      </c>
      <c r="BZ146">
        <v>6</v>
      </c>
      <c r="CA146">
        <v>546.144208875</v>
      </c>
      <c r="CB146">
        <v>546.144208875</v>
      </c>
      <c r="CC146">
        <v>0</v>
      </c>
      <c r="CD146">
        <v>16.557241398750001</v>
      </c>
      <c r="CE146">
        <v>16.557241398750001</v>
      </c>
      <c r="CF146">
        <v>0</v>
      </c>
      <c r="CG146">
        <v>53.328171599999997</v>
      </c>
      <c r="CH146">
        <v>53.328171599999997</v>
      </c>
      <c r="CI146">
        <v>0</v>
      </c>
      <c r="CJ146">
        <v>0.13647336615</v>
      </c>
      <c r="CK146">
        <v>8.5988159212499998E-2</v>
      </c>
      <c r="CL146">
        <v>2.6920258368749998E-2</v>
      </c>
      <c r="CM146" s="2">
        <v>1.5739349759999999E-6</v>
      </c>
      <c r="CN146">
        <v>45.2892843825</v>
      </c>
      <c r="CO146">
        <v>8.9559510491666998</v>
      </c>
      <c r="CP146">
        <v>13.739839891997001</v>
      </c>
      <c r="CQ146">
        <v>13.739839891997001</v>
      </c>
      <c r="CR146">
        <v>0</v>
      </c>
      <c r="CS146">
        <v>0.41654537789676999</v>
      </c>
      <c r="CT146">
        <v>0.41654537789676999</v>
      </c>
      <c r="CU146">
        <v>0</v>
      </c>
      <c r="CV146">
        <v>1.3416246617834999</v>
      </c>
      <c r="CW146">
        <v>1.3416246617834999</v>
      </c>
      <c r="CX146">
        <v>0</v>
      </c>
      <c r="CY146">
        <v>3.4333829233225001E-3</v>
      </c>
      <c r="CZ146">
        <v>2.163281274411E-3</v>
      </c>
      <c r="DA146">
        <v>6.7725709405530999E-4</v>
      </c>
      <c r="DB146" s="2">
        <v>3.9596894408531997E-8</v>
      </c>
    </row>
    <row r="147" spans="1:106" x14ac:dyDescent="0.25">
      <c r="A147">
        <v>25868</v>
      </c>
      <c r="B147" t="s">
        <v>284</v>
      </c>
      <c r="C147">
        <v>50</v>
      </c>
      <c r="D147" t="s">
        <v>261</v>
      </c>
      <c r="E147">
        <v>2</v>
      </c>
      <c r="F147" t="s">
        <v>167</v>
      </c>
      <c r="G147">
        <v>31799.16</v>
      </c>
      <c r="H147" t="s">
        <v>0</v>
      </c>
      <c r="I147">
        <v>4</v>
      </c>
      <c r="J147">
        <v>31799.16</v>
      </c>
      <c r="L147">
        <v>92117.401014000003</v>
      </c>
      <c r="O147">
        <v>796849</v>
      </c>
      <c r="P147" t="s">
        <v>93</v>
      </c>
      <c r="Q147">
        <v>250</v>
      </c>
      <c r="R147" t="s">
        <v>262</v>
      </c>
      <c r="S147" t="s">
        <v>263</v>
      </c>
      <c r="T147">
        <v>760</v>
      </c>
      <c r="W147" t="s">
        <v>16</v>
      </c>
      <c r="Y147">
        <v>0.15</v>
      </c>
      <c r="AF147" t="s">
        <v>68</v>
      </c>
      <c r="AG147" t="s">
        <v>68</v>
      </c>
      <c r="AH147" s="1">
        <v>1</v>
      </c>
      <c r="AI147">
        <v>0.15</v>
      </c>
      <c r="AJ147">
        <v>2325</v>
      </c>
      <c r="AK147">
        <v>348.75</v>
      </c>
      <c r="AM147">
        <v>348.75</v>
      </c>
      <c r="AN147">
        <v>265050</v>
      </c>
      <c r="AO147">
        <v>8.3351258335126008</v>
      </c>
      <c r="AP147" t="s">
        <v>0</v>
      </c>
      <c r="AQ147" t="s">
        <v>264</v>
      </c>
      <c r="AR147">
        <v>30363</v>
      </c>
      <c r="AS147" t="s">
        <v>305</v>
      </c>
      <c r="AT147">
        <v>1</v>
      </c>
      <c r="AU147">
        <v>1</v>
      </c>
      <c r="AV147" t="s">
        <v>266</v>
      </c>
      <c r="AW147">
        <v>0</v>
      </c>
      <c r="AX147">
        <v>100</v>
      </c>
      <c r="AY147">
        <v>100</v>
      </c>
      <c r="AZ147" t="s">
        <v>267</v>
      </c>
      <c r="BK147">
        <v>1.5660049</v>
      </c>
      <c r="BL147">
        <v>1.5660049</v>
      </c>
      <c r="BM147">
        <v>0</v>
      </c>
      <c r="BN147">
        <v>4.7475960999999997E-2</v>
      </c>
      <c r="BO147">
        <v>4.7475960999999997E-2</v>
      </c>
      <c r="BP147">
        <v>0</v>
      </c>
      <c r="BQ147">
        <v>0.15291231999999999</v>
      </c>
      <c r="BR147">
        <v>0.15291231999999999</v>
      </c>
      <c r="BS147">
        <v>0</v>
      </c>
      <c r="BT147">
        <v>3.9132148000000001E-4</v>
      </c>
      <c r="BU147">
        <v>2.4656103E-4</v>
      </c>
      <c r="BV147" s="2">
        <v>7.7190705E-5</v>
      </c>
      <c r="BW147" s="2">
        <v>4.5130751999999996E-9</v>
      </c>
      <c r="BX147">
        <v>0</v>
      </c>
      <c r="BY147">
        <v>4</v>
      </c>
      <c r="BZ147">
        <v>6</v>
      </c>
      <c r="CA147">
        <v>546.144208875</v>
      </c>
      <c r="CB147">
        <v>546.144208875</v>
      </c>
      <c r="CC147">
        <v>0</v>
      </c>
      <c r="CD147">
        <v>16.557241398750001</v>
      </c>
      <c r="CE147">
        <v>16.557241398750001</v>
      </c>
      <c r="CF147">
        <v>0</v>
      </c>
      <c r="CG147">
        <v>53.328171599999997</v>
      </c>
      <c r="CH147">
        <v>53.328171599999997</v>
      </c>
      <c r="CI147">
        <v>0</v>
      </c>
      <c r="CJ147">
        <v>0.13647336615</v>
      </c>
      <c r="CK147">
        <v>8.5988159212499998E-2</v>
      </c>
      <c r="CL147">
        <v>2.6920258368749998E-2</v>
      </c>
      <c r="CM147" s="2">
        <v>1.5739349759999999E-6</v>
      </c>
      <c r="CN147">
        <v>45.2892843825</v>
      </c>
      <c r="CO147">
        <v>8.9559510491666998</v>
      </c>
      <c r="CP147">
        <v>13.052847897396999</v>
      </c>
      <c r="CQ147">
        <v>13.052847897396999</v>
      </c>
      <c r="CR147">
        <v>0</v>
      </c>
      <c r="CS147">
        <v>0.39571810900193999</v>
      </c>
      <c r="CT147">
        <v>0.39571810900193999</v>
      </c>
      <c r="CU147">
        <v>0</v>
      </c>
      <c r="CV147">
        <v>1.2745434286943</v>
      </c>
      <c r="CW147">
        <v>1.2745434286943</v>
      </c>
      <c r="CX147">
        <v>0</v>
      </c>
      <c r="CY147">
        <v>3.2617137771563998E-3</v>
      </c>
      <c r="CZ147">
        <v>2.0551172106905002E-3</v>
      </c>
      <c r="DA147">
        <v>6.4339423935254997E-4</v>
      </c>
      <c r="DB147" s="2">
        <v>3.7617049688105E-8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E5883-CC92-4140-8AD1-872997C7E5BD}">
  <sheetPr codeName="Tabelle3"/>
  <dimension ref="A1:E161"/>
  <sheetViews>
    <sheetView workbookViewId="0"/>
  </sheetViews>
  <sheetFormatPr baseColWidth="10" defaultRowHeight="15" x14ac:dyDescent="0.25"/>
  <cols>
    <col min="1" max="1" width="82.42578125" bestFit="1" customWidth="1"/>
    <col min="2" max="2" width="28.42578125" bestFit="1" customWidth="1"/>
    <col min="3" max="3" width="29.42578125" bestFit="1" customWidth="1"/>
    <col min="4" max="4" width="30.28515625" bestFit="1" customWidth="1"/>
    <col min="5" max="5" width="33.140625" bestFit="1" customWidth="1"/>
    <col min="6" max="6" width="28.42578125" bestFit="1" customWidth="1"/>
  </cols>
  <sheetData>
    <row r="1" spans="1:5" x14ac:dyDescent="0.25">
      <c r="A1" s="4" t="s">
        <v>94</v>
      </c>
      <c r="B1" t="s">
        <v>101</v>
      </c>
      <c r="C1" t="s">
        <v>96</v>
      </c>
      <c r="D1" t="s">
        <v>97</v>
      </c>
      <c r="E1" t="s">
        <v>98</v>
      </c>
    </row>
    <row r="2" spans="1:5" x14ac:dyDescent="0.25">
      <c r="A2" s="5" t="s">
        <v>68</v>
      </c>
      <c r="B2" s="10">
        <v>23225.5</v>
      </c>
      <c r="C2" s="10">
        <v>49.745256580300001</v>
      </c>
      <c r="D2" s="10">
        <v>50.156256580299988</v>
      </c>
      <c r="E2" s="10">
        <v>-0.41100000000000003</v>
      </c>
    </row>
    <row r="3" spans="1:5" x14ac:dyDescent="0.25">
      <c r="A3" s="6" t="s">
        <v>68</v>
      </c>
      <c r="B3" s="10">
        <v>1560</v>
      </c>
      <c r="C3" s="10">
        <v>0.30582463999999998</v>
      </c>
      <c r="D3" s="10">
        <v>0.30582463999999998</v>
      </c>
      <c r="E3" s="10">
        <v>0</v>
      </c>
    </row>
    <row r="4" spans="1:5" x14ac:dyDescent="0.25">
      <c r="A4" s="7" t="s">
        <v>92</v>
      </c>
      <c r="B4" s="10">
        <v>800</v>
      </c>
      <c r="C4" s="10">
        <v>0.15291231999999999</v>
      </c>
      <c r="D4" s="10">
        <v>0.15291231999999999</v>
      </c>
      <c r="E4" s="10">
        <v>0</v>
      </c>
    </row>
    <row r="5" spans="1:5" x14ac:dyDescent="0.25">
      <c r="A5" s="8" t="s">
        <v>16</v>
      </c>
      <c r="B5" s="10">
        <v>800</v>
      </c>
      <c r="C5" s="10">
        <v>0.15291231999999999</v>
      </c>
      <c r="D5" s="10">
        <v>0.15291231999999999</v>
      </c>
      <c r="E5" s="10">
        <v>0</v>
      </c>
    </row>
    <row r="6" spans="1:5" x14ac:dyDescent="0.25">
      <c r="A6" s="7" t="s">
        <v>93</v>
      </c>
      <c r="B6" s="10">
        <v>760</v>
      </c>
      <c r="C6" s="10">
        <v>0.15291231999999999</v>
      </c>
      <c r="D6" s="10">
        <v>0.15291231999999999</v>
      </c>
      <c r="E6" s="10">
        <v>0</v>
      </c>
    </row>
    <row r="7" spans="1:5" x14ac:dyDescent="0.25">
      <c r="A7" s="8" t="s">
        <v>16</v>
      </c>
      <c r="B7" s="10">
        <v>760</v>
      </c>
      <c r="C7" s="10">
        <v>0.15291231999999999</v>
      </c>
      <c r="D7" s="10">
        <v>0.15291231999999999</v>
      </c>
      <c r="E7" s="10">
        <v>0</v>
      </c>
    </row>
    <row r="8" spans="1:5" x14ac:dyDescent="0.25">
      <c r="A8" s="6" t="s">
        <v>67</v>
      </c>
      <c r="B8" s="10">
        <v>21665.5</v>
      </c>
      <c r="C8" s="10">
        <v>49.439431940300004</v>
      </c>
      <c r="D8" s="10">
        <v>49.850431940299991</v>
      </c>
      <c r="E8" s="10">
        <v>-0.41100000000000003</v>
      </c>
    </row>
    <row r="9" spans="1:5" x14ac:dyDescent="0.25">
      <c r="A9" s="5" t="s">
        <v>30</v>
      </c>
      <c r="B9" s="10">
        <v>231721.28200000021</v>
      </c>
      <c r="C9" s="10">
        <v>112.98466831960002</v>
      </c>
      <c r="D9" s="10">
        <v>123.13404220660001</v>
      </c>
      <c r="E9" s="10">
        <v>-10.149373886999999</v>
      </c>
    </row>
    <row r="10" spans="1:5" x14ac:dyDescent="0.25">
      <c r="A10" s="6" t="s">
        <v>29</v>
      </c>
      <c r="B10" s="10">
        <v>225806.0300000002</v>
      </c>
      <c r="C10" s="10">
        <v>112.89205643860002</v>
      </c>
      <c r="D10" s="10">
        <v>123.04143032560002</v>
      </c>
      <c r="E10" s="10">
        <v>-10.149373886999999</v>
      </c>
    </row>
    <row r="11" spans="1:5" x14ac:dyDescent="0.25">
      <c r="A11" s="7" t="s">
        <v>27</v>
      </c>
      <c r="B11" s="10">
        <v>41406.764000000003</v>
      </c>
      <c r="C11" s="10">
        <v>13.2640044503</v>
      </c>
      <c r="D11" s="10">
        <v>14.157454450299999</v>
      </c>
      <c r="E11" s="10">
        <v>-0.89345000000000008</v>
      </c>
    </row>
    <row r="12" spans="1:5" x14ac:dyDescent="0.25">
      <c r="A12" s="8" t="s">
        <v>36</v>
      </c>
      <c r="B12" s="10">
        <v>5915.2520000000004</v>
      </c>
      <c r="C12" s="10">
        <v>1.6023311</v>
      </c>
      <c r="D12" s="10">
        <v>1.6263311</v>
      </c>
      <c r="E12" s="10">
        <v>-2.4E-2</v>
      </c>
    </row>
    <row r="13" spans="1:5" x14ac:dyDescent="0.25">
      <c r="A13" s="8" t="s">
        <v>35</v>
      </c>
      <c r="B13" s="10">
        <v>5915.2520000000004</v>
      </c>
      <c r="C13" s="10">
        <v>4.2053807000000001</v>
      </c>
      <c r="D13" s="10">
        <v>4.2053807000000001</v>
      </c>
      <c r="E13" s="10">
        <v>0</v>
      </c>
    </row>
    <row r="14" spans="1:5" x14ac:dyDescent="0.25">
      <c r="A14" s="8" t="s">
        <v>34</v>
      </c>
      <c r="B14" s="10">
        <v>5915.2520000000004</v>
      </c>
      <c r="C14" s="10">
        <v>4.2053807000000001</v>
      </c>
      <c r="D14" s="10">
        <v>4.2053807000000001</v>
      </c>
      <c r="E14" s="10">
        <v>0</v>
      </c>
    </row>
    <row r="15" spans="1:5" x14ac:dyDescent="0.25">
      <c r="A15" s="8" t="s">
        <v>4</v>
      </c>
      <c r="B15" s="10">
        <v>5915.2520000000004</v>
      </c>
      <c r="C15" s="10">
        <v>-0.42124977000000002</v>
      </c>
      <c r="D15" s="10">
        <v>0.42520023000000001</v>
      </c>
      <c r="E15" s="10">
        <v>-0.84645000000000004</v>
      </c>
    </row>
    <row r="16" spans="1:5" x14ac:dyDescent="0.25">
      <c r="A16" s="8" t="s">
        <v>33</v>
      </c>
      <c r="B16" s="10">
        <v>5915.2520000000004</v>
      </c>
      <c r="C16" s="10">
        <v>0.82198998999999995</v>
      </c>
      <c r="D16" s="10">
        <v>0.82398998999999995</v>
      </c>
      <c r="E16" s="10">
        <v>-2E-3</v>
      </c>
    </row>
    <row r="17" spans="1:5" x14ac:dyDescent="0.25">
      <c r="A17" s="8" t="s">
        <v>31</v>
      </c>
      <c r="B17" s="10">
        <v>5915.2520000000004</v>
      </c>
      <c r="C17" s="10">
        <v>7.0793302999999997E-3</v>
      </c>
      <c r="D17" s="10">
        <v>7.0793302999999997E-3</v>
      </c>
      <c r="E17" s="10">
        <v>0</v>
      </c>
    </row>
    <row r="18" spans="1:5" x14ac:dyDescent="0.25">
      <c r="A18" s="8" t="s">
        <v>32</v>
      </c>
      <c r="B18" s="10">
        <v>5915.2520000000004</v>
      </c>
      <c r="C18" s="10">
        <v>2.8430924000000002</v>
      </c>
      <c r="D18" s="10">
        <v>2.8640924000000001</v>
      </c>
      <c r="E18" s="10">
        <v>-2.1000000000000001E-2</v>
      </c>
    </row>
    <row r="19" spans="1:5" x14ac:dyDescent="0.25">
      <c r="A19" s="7" t="s">
        <v>37</v>
      </c>
      <c r="B19" s="10">
        <v>735.93</v>
      </c>
      <c r="C19" s="10">
        <v>10.058546101299999</v>
      </c>
      <c r="D19" s="10">
        <v>10.112546101300001</v>
      </c>
      <c r="E19" s="10">
        <v>-5.4000000000000006E-2</v>
      </c>
    </row>
    <row r="20" spans="1:5" x14ac:dyDescent="0.25">
      <c r="A20" s="8" t="s">
        <v>36</v>
      </c>
      <c r="B20" s="10">
        <v>81.77</v>
      </c>
      <c r="C20" s="10">
        <v>1.6023311</v>
      </c>
      <c r="D20" s="10">
        <v>1.6263311</v>
      </c>
      <c r="E20" s="10">
        <v>-2.4E-2</v>
      </c>
    </row>
    <row r="21" spans="1:5" x14ac:dyDescent="0.25">
      <c r="A21" s="8" t="s">
        <v>38</v>
      </c>
      <c r="B21" s="10">
        <v>81.77</v>
      </c>
      <c r="C21" s="10">
        <v>4.2053807000000001</v>
      </c>
      <c r="D21" s="10">
        <v>4.2053807000000001</v>
      </c>
      <c r="E21" s="10">
        <v>0</v>
      </c>
    </row>
    <row r="22" spans="1:5" x14ac:dyDescent="0.25">
      <c r="A22" s="8" t="s">
        <v>28</v>
      </c>
      <c r="B22" s="10">
        <v>81.77</v>
      </c>
      <c r="C22" s="10">
        <v>9.2611880999999993E-2</v>
      </c>
      <c r="D22" s="10">
        <v>9.2611880999999993E-2</v>
      </c>
      <c r="E22" s="10">
        <v>0</v>
      </c>
    </row>
    <row r="23" spans="1:5" x14ac:dyDescent="0.25">
      <c r="A23" s="8" t="s">
        <v>33</v>
      </c>
      <c r="B23" s="10">
        <v>81.77</v>
      </c>
      <c r="C23" s="10">
        <v>0.82198998999999995</v>
      </c>
      <c r="D23" s="10">
        <v>0.82398998999999995</v>
      </c>
      <c r="E23" s="10">
        <v>-2E-3</v>
      </c>
    </row>
    <row r="24" spans="1:5" x14ac:dyDescent="0.25">
      <c r="A24" s="8" t="s">
        <v>14</v>
      </c>
      <c r="B24" s="10">
        <v>81.77</v>
      </c>
      <c r="C24" s="10">
        <v>0.17529323999999999</v>
      </c>
      <c r="D24" s="10">
        <v>0.17729323999999999</v>
      </c>
      <c r="E24" s="10">
        <v>-2E-3</v>
      </c>
    </row>
    <row r="25" spans="1:5" x14ac:dyDescent="0.25">
      <c r="A25" s="8" t="s">
        <v>31</v>
      </c>
      <c r="B25" s="10">
        <v>81.77</v>
      </c>
      <c r="C25" s="10">
        <v>7.0793302999999997E-3</v>
      </c>
      <c r="D25" s="10">
        <v>7.0793302999999997E-3</v>
      </c>
      <c r="E25" s="10">
        <v>0</v>
      </c>
    </row>
    <row r="26" spans="1:5" x14ac:dyDescent="0.25">
      <c r="A26" s="8" t="s">
        <v>15</v>
      </c>
      <c r="B26" s="10">
        <v>81.77</v>
      </c>
      <c r="C26" s="10">
        <v>0.15785514</v>
      </c>
      <c r="D26" s="10">
        <v>0.16285514000000001</v>
      </c>
      <c r="E26" s="10">
        <v>-5.0000000000000001E-3</v>
      </c>
    </row>
    <row r="27" spans="1:5" x14ac:dyDescent="0.25">
      <c r="A27" s="8" t="s">
        <v>16</v>
      </c>
      <c r="B27" s="10">
        <v>81.77</v>
      </c>
      <c r="C27" s="10">
        <v>0.15291231999999999</v>
      </c>
      <c r="D27" s="10">
        <v>0.15291231999999999</v>
      </c>
      <c r="E27" s="10">
        <v>0</v>
      </c>
    </row>
    <row r="28" spans="1:5" x14ac:dyDescent="0.25">
      <c r="A28" s="8" t="s">
        <v>32</v>
      </c>
      <c r="B28" s="10">
        <v>81.77</v>
      </c>
      <c r="C28" s="10">
        <v>2.8430924000000002</v>
      </c>
      <c r="D28" s="10">
        <v>2.8640924000000001</v>
      </c>
      <c r="E28" s="10">
        <v>-2.1000000000000001E-2</v>
      </c>
    </row>
    <row r="29" spans="1:5" x14ac:dyDescent="0.25">
      <c r="A29" s="7" t="s">
        <v>39</v>
      </c>
      <c r="B29" s="10">
        <v>15199.320000000002</v>
      </c>
      <c r="C29" s="10">
        <v>21.392162502999998</v>
      </c>
      <c r="D29" s="10">
        <v>23.363386390000006</v>
      </c>
      <c r="E29" s="10">
        <v>-1.9712238869999998</v>
      </c>
    </row>
    <row r="30" spans="1:5" x14ac:dyDescent="0.25">
      <c r="A30" s="8" t="s">
        <v>44</v>
      </c>
      <c r="B30" s="10">
        <v>1266.6099999999999</v>
      </c>
      <c r="C30" s="10">
        <v>2.8430924000000002</v>
      </c>
      <c r="D30" s="10">
        <v>2.8640924000000001</v>
      </c>
      <c r="E30" s="10">
        <v>-2.1000000000000001E-2</v>
      </c>
    </row>
    <row r="31" spans="1:5" x14ac:dyDescent="0.25">
      <c r="A31" s="8" t="s">
        <v>42</v>
      </c>
      <c r="B31" s="10">
        <v>2533.2199999999998</v>
      </c>
      <c r="C31" s="10">
        <v>8.6145922000000006</v>
      </c>
      <c r="D31" s="10">
        <v>8.6145922000000006</v>
      </c>
      <c r="E31" s="10">
        <v>0</v>
      </c>
    </row>
    <row r="32" spans="1:5" x14ac:dyDescent="0.25">
      <c r="A32" s="8" t="s">
        <v>45</v>
      </c>
      <c r="B32" s="10">
        <v>1266.6099999999999</v>
      </c>
      <c r="C32" s="10">
        <v>-1.5060725230000001</v>
      </c>
      <c r="D32" s="10">
        <v>0.11415136400000001</v>
      </c>
      <c r="E32" s="10">
        <v>-1.6202238870000001</v>
      </c>
    </row>
    <row r="33" spans="1:5" x14ac:dyDescent="0.25">
      <c r="A33" s="8" t="s">
        <v>19</v>
      </c>
      <c r="B33" s="10">
        <v>1266.6099999999999</v>
      </c>
      <c r="C33" s="10">
        <v>8.4483150000000007E-2</v>
      </c>
      <c r="D33" s="10">
        <v>0.37648314999999999</v>
      </c>
      <c r="E33" s="10">
        <v>-0.29199999999999998</v>
      </c>
    </row>
    <row r="34" spans="1:5" x14ac:dyDescent="0.25">
      <c r="A34" s="8" t="s">
        <v>41</v>
      </c>
      <c r="B34" s="10">
        <v>1266.6099999999999</v>
      </c>
      <c r="C34" s="10">
        <v>5.5952704000000004</v>
      </c>
      <c r="D34" s="10">
        <v>5.6032704000000004</v>
      </c>
      <c r="E34" s="10">
        <v>-8.0000000000000002E-3</v>
      </c>
    </row>
    <row r="35" spans="1:5" x14ac:dyDescent="0.25">
      <c r="A35" s="8" t="s">
        <v>33</v>
      </c>
      <c r="B35" s="10">
        <v>1266.6099999999999</v>
      </c>
      <c r="C35" s="10">
        <v>0.82198998999999995</v>
      </c>
      <c r="D35" s="10">
        <v>0.82398998999999995</v>
      </c>
      <c r="E35" s="10">
        <v>-2E-3</v>
      </c>
    </row>
    <row r="36" spans="1:5" x14ac:dyDescent="0.25">
      <c r="A36" s="8" t="s">
        <v>43</v>
      </c>
      <c r="B36" s="10">
        <v>1266.6099999999999</v>
      </c>
      <c r="C36" s="10">
        <v>1.7409311000000001</v>
      </c>
      <c r="D36" s="10">
        <v>1.7409311000000001</v>
      </c>
      <c r="E36" s="10">
        <v>0</v>
      </c>
    </row>
    <row r="37" spans="1:5" x14ac:dyDescent="0.25">
      <c r="A37" s="8" t="s">
        <v>14</v>
      </c>
      <c r="B37" s="10">
        <v>1266.6099999999999</v>
      </c>
      <c r="C37" s="10">
        <v>0.17529323999999999</v>
      </c>
      <c r="D37" s="10">
        <v>0.17729323999999999</v>
      </c>
      <c r="E37" s="10">
        <v>-2E-3</v>
      </c>
    </row>
    <row r="38" spans="1:5" x14ac:dyDescent="0.25">
      <c r="A38" s="8" t="s">
        <v>40</v>
      </c>
      <c r="B38" s="10">
        <v>1266.6099999999999</v>
      </c>
      <c r="C38" s="10">
        <v>2.1635005999999998E-2</v>
      </c>
      <c r="D38" s="10">
        <v>2.1635005999999998E-2</v>
      </c>
      <c r="E38" s="10">
        <v>0</v>
      </c>
    </row>
    <row r="39" spans="1:5" x14ac:dyDescent="0.25">
      <c r="A39" s="8" t="s">
        <v>15</v>
      </c>
      <c r="B39" s="10">
        <v>1266.6099999999999</v>
      </c>
      <c r="C39" s="10">
        <v>0.15785514</v>
      </c>
      <c r="D39" s="10">
        <v>0.16285514000000001</v>
      </c>
      <c r="E39" s="10">
        <v>-5.0000000000000001E-3</v>
      </c>
    </row>
    <row r="40" spans="1:5" x14ac:dyDescent="0.25">
      <c r="A40" s="8" t="s">
        <v>32</v>
      </c>
      <c r="B40" s="10">
        <v>1266.6099999999999</v>
      </c>
      <c r="C40" s="10">
        <v>2.8430924000000002</v>
      </c>
      <c r="D40" s="10">
        <v>2.8640924000000001</v>
      </c>
      <c r="E40" s="10">
        <v>-2.1000000000000001E-2</v>
      </c>
    </row>
    <row r="41" spans="1:5" x14ac:dyDescent="0.25">
      <c r="A41" s="7" t="s">
        <v>46</v>
      </c>
      <c r="B41" s="10">
        <v>105000</v>
      </c>
      <c r="C41" s="10">
        <v>13.722145886000002</v>
      </c>
      <c r="D41" s="10">
        <v>14.599595886000001</v>
      </c>
      <c r="E41" s="10">
        <v>-0.87745000000000006</v>
      </c>
    </row>
    <row r="42" spans="1:5" x14ac:dyDescent="0.25">
      <c r="A42" s="8" t="s">
        <v>51</v>
      </c>
      <c r="B42" s="10">
        <v>15000</v>
      </c>
      <c r="C42" s="10">
        <v>2.8430924000000002</v>
      </c>
      <c r="D42" s="10">
        <v>2.8640924000000001</v>
      </c>
      <c r="E42" s="10">
        <v>-2.1000000000000001E-2</v>
      </c>
    </row>
    <row r="43" spans="1:5" x14ac:dyDescent="0.25">
      <c r="A43" s="8" t="s">
        <v>50</v>
      </c>
      <c r="B43" s="10">
        <v>15000</v>
      </c>
      <c r="C43" s="10">
        <v>4.2053807000000001</v>
      </c>
      <c r="D43" s="10">
        <v>4.2053807000000001</v>
      </c>
      <c r="E43" s="10">
        <v>0</v>
      </c>
    </row>
    <row r="44" spans="1:5" x14ac:dyDescent="0.25">
      <c r="A44" s="8" t="s">
        <v>48</v>
      </c>
      <c r="B44" s="10">
        <v>15000</v>
      </c>
      <c r="C44" s="10">
        <v>0.15118186</v>
      </c>
      <c r="D44" s="10">
        <v>0.15118186</v>
      </c>
      <c r="E44" s="10">
        <v>0</v>
      </c>
    </row>
    <row r="45" spans="1:5" x14ac:dyDescent="0.25">
      <c r="A45" s="8" t="s">
        <v>11</v>
      </c>
      <c r="B45" s="10">
        <v>15000</v>
      </c>
      <c r="C45" s="10">
        <v>-0.32528815</v>
      </c>
      <c r="D45" s="10">
        <v>0.51016185000000003</v>
      </c>
      <c r="E45" s="10">
        <v>-0.83545000000000003</v>
      </c>
    </row>
    <row r="46" spans="1:5" x14ac:dyDescent="0.25">
      <c r="A46" s="8" t="s">
        <v>47</v>
      </c>
      <c r="B46" s="10">
        <v>15000</v>
      </c>
      <c r="C46" s="10">
        <v>3.9844141999999998</v>
      </c>
      <c r="D46" s="10">
        <v>3.9844141999999998</v>
      </c>
      <c r="E46" s="10">
        <v>0</v>
      </c>
    </row>
    <row r="47" spans="1:5" x14ac:dyDescent="0.25">
      <c r="A47" s="8" t="s">
        <v>52</v>
      </c>
      <c r="B47" s="10">
        <v>15000</v>
      </c>
      <c r="C47" s="10">
        <v>2.0272476000000001E-2</v>
      </c>
      <c r="D47" s="10">
        <v>2.0272476000000001E-2</v>
      </c>
      <c r="E47" s="10">
        <v>0</v>
      </c>
    </row>
    <row r="48" spans="1:5" x14ac:dyDescent="0.25">
      <c r="A48" s="8" t="s">
        <v>49</v>
      </c>
      <c r="B48" s="10">
        <v>15000</v>
      </c>
      <c r="C48" s="10">
        <v>2.8430924000000002</v>
      </c>
      <c r="D48" s="10">
        <v>2.8640924000000001</v>
      </c>
      <c r="E48" s="10">
        <v>-2.1000000000000001E-2</v>
      </c>
    </row>
    <row r="49" spans="1:5" x14ac:dyDescent="0.25">
      <c r="A49" s="7" t="s">
        <v>53</v>
      </c>
      <c r="B49" s="10">
        <v>49280.016000000003</v>
      </c>
      <c r="C49" s="10">
        <v>14.327435936000001</v>
      </c>
      <c r="D49" s="10">
        <v>14.369435936000002</v>
      </c>
      <c r="E49" s="10">
        <v>-4.2000000000000003E-2</v>
      </c>
    </row>
    <row r="50" spans="1:5" x14ac:dyDescent="0.25">
      <c r="A50" s="8" t="s">
        <v>51</v>
      </c>
      <c r="B50" s="10">
        <v>6160.0020000000004</v>
      </c>
      <c r="C50" s="10">
        <v>2.8430924000000002</v>
      </c>
      <c r="D50" s="10">
        <v>2.8640924000000001</v>
      </c>
      <c r="E50" s="10">
        <v>-2.1000000000000001E-2</v>
      </c>
    </row>
    <row r="51" spans="1:5" x14ac:dyDescent="0.25">
      <c r="A51" s="8" t="s">
        <v>54</v>
      </c>
      <c r="B51" s="10">
        <v>6160.0020000000004</v>
      </c>
      <c r="C51" s="10">
        <v>0.12708958000000001</v>
      </c>
      <c r="D51" s="10">
        <v>0.12708958000000001</v>
      </c>
      <c r="E51" s="10">
        <v>0</v>
      </c>
    </row>
    <row r="52" spans="1:5" x14ac:dyDescent="0.25">
      <c r="A52" s="8" t="s">
        <v>50</v>
      </c>
      <c r="B52" s="10">
        <v>6160.0020000000004</v>
      </c>
      <c r="C52" s="10">
        <v>4.2053807000000001</v>
      </c>
      <c r="D52" s="10">
        <v>4.2053807000000001</v>
      </c>
      <c r="E52" s="10">
        <v>0</v>
      </c>
    </row>
    <row r="53" spans="1:5" x14ac:dyDescent="0.25">
      <c r="A53" s="8" t="s">
        <v>48</v>
      </c>
      <c r="B53" s="10">
        <v>6160.0020000000004</v>
      </c>
      <c r="C53" s="10">
        <v>0.15118186</v>
      </c>
      <c r="D53" s="10">
        <v>0.15118186</v>
      </c>
      <c r="E53" s="10">
        <v>0</v>
      </c>
    </row>
    <row r="54" spans="1:5" x14ac:dyDescent="0.25">
      <c r="A54" s="8" t="s">
        <v>47</v>
      </c>
      <c r="B54" s="10">
        <v>6160.0020000000004</v>
      </c>
      <c r="C54" s="10">
        <v>3.9844141999999998</v>
      </c>
      <c r="D54" s="10">
        <v>3.9844141999999998</v>
      </c>
      <c r="E54" s="10">
        <v>0</v>
      </c>
    </row>
    <row r="55" spans="1:5" x14ac:dyDescent="0.25">
      <c r="A55" s="8" t="s">
        <v>52</v>
      </c>
      <c r="B55" s="10">
        <v>6160.0020000000004</v>
      </c>
      <c r="C55" s="10">
        <v>2.0272476000000001E-2</v>
      </c>
      <c r="D55" s="10">
        <v>2.0272476000000001E-2</v>
      </c>
      <c r="E55" s="10">
        <v>0</v>
      </c>
    </row>
    <row r="56" spans="1:5" x14ac:dyDescent="0.25">
      <c r="A56" s="8" t="s">
        <v>16</v>
      </c>
      <c r="B56" s="10">
        <v>6160.0020000000004</v>
      </c>
      <c r="C56" s="10">
        <v>0.15291231999999999</v>
      </c>
      <c r="D56" s="10">
        <v>0.15291231999999999</v>
      </c>
      <c r="E56" s="10">
        <v>0</v>
      </c>
    </row>
    <row r="57" spans="1:5" x14ac:dyDescent="0.25">
      <c r="A57" s="8" t="s">
        <v>49</v>
      </c>
      <c r="B57" s="10">
        <v>6160.0020000000004</v>
      </c>
      <c r="C57" s="10">
        <v>2.8430924000000002</v>
      </c>
      <c r="D57" s="10">
        <v>2.8640924000000001</v>
      </c>
      <c r="E57" s="10">
        <v>-2.1000000000000001E-2</v>
      </c>
    </row>
    <row r="58" spans="1:5" x14ac:dyDescent="0.25">
      <c r="A58" s="7" t="s">
        <v>55</v>
      </c>
      <c r="B58" s="10">
        <v>2790.08</v>
      </c>
      <c r="C58" s="10">
        <v>15.708443256000002</v>
      </c>
      <c r="D58" s="10">
        <v>15.729443256</v>
      </c>
      <c r="E58" s="10">
        <v>-2.1000000000000001E-2</v>
      </c>
    </row>
    <row r="59" spans="1:5" x14ac:dyDescent="0.25">
      <c r="A59" s="8" t="s">
        <v>51</v>
      </c>
      <c r="B59" s="10">
        <v>348.76</v>
      </c>
      <c r="C59" s="10">
        <v>2.8430924000000002</v>
      </c>
      <c r="D59" s="10">
        <v>2.8640924000000001</v>
      </c>
      <c r="E59" s="10">
        <v>-2.1000000000000001E-2</v>
      </c>
    </row>
    <row r="60" spans="1:5" x14ac:dyDescent="0.25">
      <c r="A60" s="8" t="s">
        <v>50</v>
      </c>
      <c r="B60" s="10">
        <v>348.76</v>
      </c>
      <c r="C60" s="10">
        <v>4.2053807000000001</v>
      </c>
      <c r="D60" s="10">
        <v>4.2053807000000001</v>
      </c>
      <c r="E60" s="10">
        <v>0</v>
      </c>
    </row>
    <row r="61" spans="1:5" x14ac:dyDescent="0.25">
      <c r="A61" s="8" t="s">
        <v>56</v>
      </c>
      <c r="B61" s="10">
        <v>348.76</v>
      </c>
      <c r="C61" s="10">
        <v>2.6102582000000001</v>
      </c>
      <c r="D61" s="10">
        <v>2.6102582000000001</v>
      </c>
      <c r="E61" s="10">
        <v>0</v>
      </c>
    </row>
    <row r="62" spans="1:5" x14ac:dyDescent="0.25">
      <c r="A62" s="8" t="s">
        <v>48</v>
      </c>
      <c r="B62" s="10">
        <v>348.76</v>
      </c>
      <c r="C62" s="10">
        <v>0.15118186</v>
      </c>
      <c r="D62" s="10">
        <v>0.15118186</v>
      </c>
      <c r="E62" s="10">
        <v>0</v>
      </c>
    </row>
    <row r="63" spans="1:5" x14ac:dyDescent="0.25">
      <c r="A63" s="8" t="s">
        <v>57</v>
      </c>
      <c r="B63" s="10">
        <v>348.76</v>
      </c>
      <c r="C63" s="10">
        <v>1.7409311000000001</v>
      </c>
      <c r="D63" s="10">
        <v>1.7409311000000001</v>
      </c>
      <c r="E63" s="10">
        <v>0</v>
      </c>
    </row>
    <row r="64" spans="1:5" x14ac:dyDescent="0.25">
      <c r="A64" s="8" t="s">
        <v>47</v>
      </c>
      <c r="B64" s="10">
        <v>348.76</v>
      </c>
      <c r="C64" s="10">
        <v>3.9844141999999998</v>
      </c>
      <c r="D64" s="10">
        <v>3.9844141999999998</v>
      </c>
      <c r="E64" s="10">
        <v>0</v>
      </c>
    </row>
    <row r="65" spans="1:5" x14ac:dyDescent="0.25">
      <c r="A65" s="8" t="s">
        <v>52</v>
      </c>
      <c r="B65" s="10">
        <v>348.76</v>
      </c>
      <c r="C65" s="10">
        <v>2.0272476000000001E-2</v>
      </c>
      <c r="D65" s="10">
        <v>2.0272476000000001E-2</v>
      </c>
      <c r="E65" s="10">
        <v>0</v>
      </c>
    </row>
    <row r="66" spans="1:5" x14ac:dyDescent="0.25">
      <c r="A66" s="8" t="s">
        <v>16</v>
      </c>
      <c r="B66" s="10">
        <v>348.76</v>
      </c>
      <c r="C66" s="10">
        <v>0.15291231999999999</v>
      </c>
      <c r="D66" s="10">
        <v>0.15291231999999999</v>
      </c>
      <c r="E66" s="10">
        <v>0</v>
      </c>
    </row>
    <row r="67" spans="1:5" x14ac:dyDescent="0.25">
      <c r="A67" s="7" t="s">
        <v>58</v>
      </c>
      <c r="B67" s="10">
        <v>2832.9599999999996</v>
      </c>
      <c r="C67" s="10">
        <v>15.941277456000002</v>
      </c>
      <c r="D67" s="10">
        <v>15.983277456000001</v>
      </c>
      <c r="E67" s="10">
        <v>-4.2000000000000003E-2</v>
      </c>
    </row>
    <row r="68" spans="1:5" x14ac:dyDescent="0.25">
      <c r="A68" s="8" t="s">
        <v>51</v>
      </c>
      <c r="B68" s="10">
        <v>354.12</v>
      </c>
      <c r="C68" s="10">
        <v>2.8430924000000002</v>
      </c>
      <c r="D68" s="10">
        <v>2.8640924000000001</v>
      </c>
      <c r="E68" s="10">
        <v>-2.1000000000000001E-2</v>
      </c>
    </row>
    <row r="69" spans="1:5" x14ac:dyDescent="0.25">
      <c r="A69" s="8" t="s">
        <v>50</v>
      </c>
      <c r="B69" s="10">
        <v>354.12</v>
      </c>
      <c r="C69" s="10">
        <v>4.2053807000000001</v>
      </c>
      <c r="D69" s="10">
        <v>4.2053807000000001</v>
      </c>
      <c r="E69" s="10">
        <v>0</v>
      </c>
    </row>
    <row r="70" spans="1:5" x14ac:dyDescent="0.25">
      <c r="A70" s="8" t="s">
        <v>48</v>
      </c>
      <c r="B70" s="10">
        <v>354.12</v>
      </c>
      <c r="C70" s="10">
        <v>0.15118186</v>
      </c>
      <c r="D70" s="10">
        <v>0.15118186</v>
      </c>
      <c r="E70" s="10">
        <v>0</v>
      </c>
    </row>
    <row r="71" spans="1:5" x14ac:dyDescent="0.25">
      <c r="A71" s="8" t="s">
        <v>57</v>
      </c>
      <c r="B71" s="10">
        <v>354.12</v>
      </c>
      <c r="C71" s="10">
        <v>1.7409311000000001</v>
      </c>
      <c r="D71" s="10">
        <v>1.7409311000000001</v>
      </c>
      <c r="E71" s="10">
        <v>0</v>
      </c>
    </row>
    <row r="72" spans="1:5" x14ac:dyDescent="0.25">
      <c r="A72" s="8" t="s">
        <v>47</v>
      </c>
      <c r="B72" s="10">
        <v>354.12</v>
      </c>
      <c r="C72" s="10">
        <v>3.9844141999999998</v>
      </c>
      <c r="D72" s="10">
        <v>3.9844141999999998</v>
      </c>
      <c r="E72" s="10">
        <v>0</v>
      </c>
    </row>
    <row r="73" spans="1:5" x14ac:dyDescent="0.25">
      <c r="A73" s="8" t="s">
        <v>52</v>
      </c>
      <c r="B73" s="10">
        <v>354.12</v>
      </c>
      <c r="C73" s="10">
        <v>2.0272476000000001E-2</v>
      </c>
      <c r="D73" s="10">
        <v>2.0272476000000001E-2</v>
      </c>
      <c r="E73" s="10">
        <v>0</v>
      </c>
    </row>
    <row r="74" spans="1:5" x14ac:dyDescent="0.25">
      <c r="A74" s="8" t="s">
        <v>16</v>
      </c>
      <c r="B74" s="10">
        <v>354.12</v>
      </c>
      <c r="C74" s="10">
        <v>0.15291231999999999</v>
      </c>
      <c r="D74" s="10">
        <v>0.15291231999999999</v>
      </c>
      <c r="E74" s="10">
        <v>0</v>
      </c>
    </row>
    <row r="75" spans="1:5" x14ac:dyDescent="0.25">
      <c r="A75" s="8" t="s">
        <v>49</v>
      </c>
      <c r="B75" s="10">
        <v>354.12</v>
      </c>
      <c r="C75" s="10">
        <v>2.8430924000000002</v>
      </c>
      <c r="D75" s="10">
        <v>2.8640924000000001</v>
      </c>
      <c r="E75" s="10">
        <v>-2.1000000000000001E-2</v>
      </c>
    </row>
    <row r="76" spans="1:5" x14ac:dyDescent="0.25">
      <c r="A76" s="7" t="s">
        <v>59</v>
      </c>
      <c r="B76" s="10">
        <v>743.95999999999992</v>
      </c>
      <c r="C76" s="10">
        <v>8.3251285299999989</v>
      </c>
      <c r="D76" s="10">
        <v>14.573378530000001</v>
      </c>
      <c r="E76" s="10">
        <v>-6.2482500000000005</v>
      </c>
    </row>
    <row r="77" spans="1:5" x14ac:dyDescent="0.25">
      <c r="A77" s="8" t="s">
        <v>48</v>
      </c>
      <c r="B77" s="10">
        <v>53.14</v>
      </c>
      <c r="C77" s="10">
        <v>0.15118186</v>
      </c>
      <c r="D77" s="10">
        <v>0.15118186</v>
      </c>
      <c r="E77" s="10">
        <v>0</v>
      </c>
    </row>
    <row r="78" spans="1:5" x14ac:dyDescent="0.25">
      <c r="A78" s="8" t="s">
        <v>61</v>
      </c>
      <c r="B78" s="10">
        <v>53.14</v>
      </c>
      <c r="C78" s="10">
        <v>-0.95084049000000004</v>
      </c>
      <c r="D78" s="10">
        <v>0.84515951</v>
      </c>
      <c r="E78" s="10">
        <v>-1.796</v>
      </c>
    </row>
    <row r="79" spans="1:5" x14ac:dyDescent="0.25">
      <c r="A79" s="8" t="s">
        <v>24</v>
      </c>
      <c r="B79" s="10">
        <v>53.14</v>
      </c>
      <c r="C79" s="10">
        <v>2.8430924000000002</v>
      </c>
      <c r="D79" s="10">
        <v>2.8640924000000001</v>
      </c>
      <c r="E79" s="10">
        <v>-2.1000000000000001E-2</v>
      </c>
    </row>
    <row r="80" spans="1:5" x14ac:dyDescent="0.25">
      <c r="A80" s="8" t="s">
        <v>63</v>
      </c>
      <c r="B80" s="10">
        <v>53.14</v>
      </c>
      <c r="C80" s="10">
        <v>1.7409311000000001</v>
      </c>
      <c r="D80" s="10">
        <v>1.7409311000000001</v>
      </c>
      <c r="E80" s="10">
        <v>0</v>
      </c>
    </row>
    <row r="81" spans="1:5" x14ac:dyDescent="0.25">
      <c r="A81" s="8" t="s">
        <v>66</v>
      </c>
      <c r="B81" s="10">
        <v>53.14</v>
      </c>
      <c r="C81" s="10">
        <v>1.7409311000000001</v>
      </c>
      <c r="D81" s="10">
        <v>1.7409311000000001</v>
      </c>
      <c r="E81" s="10">
        <v>0</v>
      </c>
    </row>
    <row r="82" spans="1:5" x14ac:dyDescent="0.25">
      <c r="A82" s="8" t="s">
        <v>19</v>
      </c>
      <c r="B82" s="10">
        <v>106.28</v>
      </c>
      <c r="C82" s="10">
        <v>0.16896630000000001</v>
      </c>
      <c r="D82" s="10">
        <v>0.75296629999999998</v>
      </c>
      <c r="E82" s="10">
        <v>-0.58399999999999996</v>
      </c>
    </row>
    <row r="83" spans="1:5" x14ac:dyDescent="0.25">
      <c r="A83" s="8" t="s">
        <v>65</v>
      </c>
      <c r="B83" s="10">
        <v>53.14</v>
      </c>
      <c r="C83" s="10">
        <v>0.34419855999999999</v>
      </c>
      <c r="D83" s="10">
        <v>0.34419855999999999</v>
      </c>
      <c r="E83" s="10">
        <v>0</v>
      </c>
    </row>
    <row r="84" spans="1:5" x14ac:dyDescent="0.25">
      <c r="A84" s="8" t="s">
        <v>64</v>
      </c>
      <c r="B84" s="10">
        <v>159.42000000000002</v>
      </c>
      <c r="C84" s="10">
        <v>-0.53151813000000003</v>
      </c>
      <c r="D84" s="10">
        <v>1.9154318699999999</v>
      </c>
      <c r="E84" s="10">
        <v>-2.4469500000000002</v>
      </c>
    </row>
    <row r="85" spans="1:5" x14ac:dyDescent="0.25">
      <c r="A85" s="8" t="s">
        <v>49</v>
      </c>
      <c r="B85" s="10">
        <v>53.14</v>
      </c>
      <c r="C85" s="10">
        <v>2.8430924000000002</v>
      </c>
      <c r="D85" s="10">
        <v>2.8640924000000001</v>
      </c>
      <c r="E85" s="10">
        <v>-2.1000000000000001E-2</v>
      </c>
    </row>
    <row r="86" spans="1:5" x14ac:dyDescent="0.25">
      <c r="A86" s="8" t="s">
        <v>62</v>
      </c>
      <c r="B86" s="10">
        <v>53.14</v>
      </c>
      <c r="C86" s="10">
        <v>-0.14579291999999999</v>
      </c>
      <c r="D86" s="10">
        <v>0.40520708</v>
      </c>
      <c r="E86" s="10">
        <v>-0.55100000000000005</v>
      </c>
    </row>
    <row r="87" spans="1:5" x14ac:dyDescent="0.25">
      <c r="A87" s="8" t="s">
        <v>60</v>
      </c>
      <c r="B87" s="10">
        <v>53.14</v>
      </c>
      <c r="C87" s="10">
        <v>0.12088635</v>
      </c>
      <c r="D87" s="10">
        <v>0.94918634999999996</v>
      </c>
      <c r="E87" s="10">
        <v>-0.82830000000000004</v>
      </c>
    </row>
    <row r="88" spans="1:5" x14ac:dyDescent="0.25">
      <c r="A88" s="7" t="s">
        <v>75</v>
      </c>
      <c r="B88" s="10">
        <v>7817</v>
      </c>
      <c r="C88" s="10">
        <v>0.15291231999999999</v>
      </c>
      <c r="D88" s="10">
        <v>0.15291231999999999</v>
      </c>
      <c r="E88" s="10">
        <v>0</v>
      </c>
    </row>
    <row r="89" spans="1:5" x14ac:dyDescent="0.25">
      <c r="A89" s="8" t="s">
        <v>16</v>
      </c>
      <c r="B89" s="10">
        <v>7817</v>
      </c>
      <c r="C89" s="10">
        <v>0.15291231999999999</v>
      </c>
      <c r="D89" s="10">
        <v>0.15291231999999999</v>
      </c>
      <c r="E89" s="10">
        <v>0</v>
      </c>
    </row>
    <row r="90" spans="1:5" x14ac:dyDescent="0.25">
      <c r="A90" s="6" t="s">
        <v>99</v>
      </c>
      <c r="B90" s="10">
        <v>5915.2520000000004</v>
      </c>
      <c r="C90" s="10">
        <v>9.2611880999999993E-2</v>
      </c>
      <c r="D90" s="10">
        <v>9.2611880999999993E-2</v>
      </c>
      <c r="E90" s="10">
        <v>0</v>
      </c>
    </row>
    <row r="91" spans="1:5" x14ac:dyDescent="0.25">
      <c r="A91" s="7" t="s">
        <v>27</v>
      </c>
      <c r="B91" s="10">
        <v>5915.2520000000004</v>
      </c>
      <c r="C91" s="10">
        <v>9.2611880999999993E-2</v>
      </c>
      <c r="D91" s="10">
        <v>9.2611880999999993E-2</v>
      </c>
      <c r="E91" s="10">
        <v>0</v>
      </c>
    </row>
    <row r="92" spans="1:5" x14ac:dyDescent="0.25">
      <c r="A92" s="8" t="s">
        <v>28</v>
      </c>
      <c r="B92" s="10">
        <v>5915.2520000000004</v>
      </c>
      <c r="C92" s="10">
        <v>9.2611880999999993E-2</v>
      </c>
      <c r="D92" s="10">
        <v>9.2611880999999993E-2</v>
      </c>
      <c r="E92" s="10">
        <v>0</v>
      </c>
    </row>
    <row r="93" spans="1:5" x14ac:dyDescent="0.25">
      <c r="A93" s="5" t="s">
        <v>81</v>
      </c>
      <c r="B93" s="10">
        <v>5450.13</v>
      </c>
      <c r="C93" s="10">
        <v>140.76150000000001</v>
      </c>
      <c r="D93" s="10">
        <v>192.72</v>
      </c>
      <c r="E93" s="10">
        <v>-51.958500000000001</v>
      </c>
    </row>
    <row r="94" spans="1:5" x14ac:dyDescent="0.25">
      <c r="A94" s="6" t="s">
        <v>80</v>
      </c>
      <c r="B94" s="10">
        <v>5450.13</v>
      </c>
      <c r="C94" s="10">
        <v>140.76150000000001</v>
      </c>
      <c r="D94" s="10">
        <v>192.72</v>
      </c>
      <c r="E94" s="10">
        <v>-51.958500000000001</v>
      </c>
    </row>
    <row r="95" spans="1:5" x14ac:dyDescent="0.25">
      <c r="A95" s="7" t="s">
        <v>78</v>
      </c>
      <c r="B95" s="10">
        <v>5450.13</v>
      </c>
      <c r="C95" s="10">
        <v>140.76150000000001</v>
      </c>
      <c r="D95" s="10">
        <v>192.72</v>
      </c>
      <c r="E95" s="10">
        <v>-51.958500000000001</v>
      </c>
    </row>
    <row r="96" spans="1:5" x14ac:dyDescent="0.25">
      <c r="A96" s="8" t="s">
        <v>79</v>
      </c>
      <c r="B96" s="10">
        <v>2725.0650000000001</v>
      </c>
      <c r="C96" s="10">
        <v>79.231499999999997</v>
      </c>
      <c r="D96" s="10">
        <v>131.19</v>
      </c>
      <c r="E96" s="10">
        <v>-51.958500000000001</v>
      </c>
    </row>
    <row r="97" spans="1:5" x14ac:dyDescent="0.25">
      <c r="A97" s="8" t="s">
        <v>82</v>
      </c>
      <c r="B97" s="10">
        <v>2725.0650000000001</v>
      </c>
      <c r="C97" s="10">
        <v>61.53</v>
      </c>
      <c r="D97" s="10">
        <v>61.53</v>
      </c>
      <c r="E97" s="10">
        <v>0</v>
      </c>
    </row>
    <row r="98" spans="1:5" x14ac:dyDescent="0.25">
      <c r="A98" s="5" t="s">
        <v>89</v>
      </c>
      <c r="B98" s="10">
        <v>521</v>
      </c>
      <c r="C98" s="10">
        <v>0.45873695999999997</v>
      </c>
      <c r="D98" s="10">
        <v>0.45873695999999997</v>
      </c>
      <c r="E98" s="10">
        <v>0</v>
      </c>
    </row>
    <row r="99" spans="1:5" x14ac:dyDescent="0.25">
      <c r="A99" s="6" t="s">
        <v>88</v>
      </c>
      <c r="B99" s="10">
        <v>521</v>
      </c>
      <c r="C99" s="10">
        <v>0.45873695999999997</v>
      </c>
      <c r="D99" s="10">
        <v>0.45873695999999997</v>
      </c>
      <c r="E99" s="10">
        <v>0</v>
      </c>
    </row>
    <row r="100" spans="1:5" x14ac:dyDescent="0.25">
      <c r="A100" s="7" t="s">
        <v>87</v>
      </c>
      <c r="B100" s="10">
        <v>261</v>
      </c>
      <c r="C100" s="10">
        <v>0.15291231999999999</v>
      </c>
      <c r="D100" s="10">
        <v>0.15291231999999999</v>
      </c>
      <c r="E100" s="10">
        <v>0</v>
      </c>
    </row>
    <row r="101" spans="1:5" x14ac:dyDescent="0.25">
      <c r="A101" s="8" t="s">
        <v>16</v>
      </c>
      <c r="B101" s="10">
        <v>261</v>
      </c>
      <c r="C101" s="10">
        <v>0.15291231999999999</v>
      </c>
      <c r="D101" s="10">
        <v>0.15291231999999999</v>
      </c>
      <c r="E101" s="10">
        <v>0</v>
      </c>
    </row>
    <row r="102" spans="1:5" x14ac:dyDescent="0.25">
      <c r="A102" s="7" t="s">
        <v>90</v>
      </c>
      <c r="B102" s="10">
        <v>240</v>
      </c>
      <c r="C102" s="10">
        <v>0.15291231999999999</v>
      </c>
      <c r="D102" s="10">
        <v>0.15291231999999999</v>
      </c>
      <c r="E102" s="10">
        <v>0</v>
      </c>
    </row>
    <row r="103" spans="1:5" x14ac:dyDescent="0.25">
      <c r="A103" s="8" t="s">
        <v>16</v>
      </c>
      <c r="B103" s="10">
        <v>240</v>
      </c>
      <c r="C103" s="10">
        <v>0.15291231999999999</v>
      </c>
      <c r="D103" s="10">
        <v>0.15291231999999999</v>
      </c>
      <c r="E103" s="10">
        <v>0</v>
      </c>
    </row>
    <row r="104" spans="1:5" x14ac:dyDescent="0.25">
      <c r="A104" s="7" t="s">
        <v>91</v>
      </c>
      <c r="B104" s="10">
        <v>20</v>
      </c>
      <c r="C104" s="10">
        <v>0.15291231999999999</v>
      </c>
      <c r="D104" s="10">
        <v>0.15291231999999999</v>
      </c>
      <c r="E104" s="10">
        <v>0</v>
      </c>
    </row>
    <row r="105" spans="1:5" x14ac:dyDescent="0.25">
      <c r="A105" s="8" t="s">
        <v>16</v>
      </c>
      <c r="B105" s="10">
        <v>20</v>
      </c>
      <c r="C105" s="10">
        <v>0.15291231999999999</v>
      </c>
      <c r="D105" s="10">
        <v>0.15291231999999999</v>
      </c>
      <c r="E105" s="10">
        <v>0</v>
      </c>
    </row>
    <row r="106" spans="1:5" x14ac:dyDescent="0.25">
      <c r="A106" s="5" t="s">
        <v>6</v>
      </c>
      <c r="B106" s="10">
        <v>121730.78376999994</v>
      </c>
      <c r="C106" s="10">
        <v>44.964889789999994</v>
      </c>
      <c r="D106" s="10">
        <v>57.520289789999971</v>
      </c>
      <c r="E106" s="10">
        <v>-12.555400000000004</v>
      </c>
    </row>
    <row r="107" spans="1:5" x14ac:dyDescent="0.25">
      <c r="A107" s="6" t="s">
        <v>5</v>
      </c>
      <c r="B107" s="10">
        <v>111281.24294999993</v>
      </c>
      <c r="C107" s="10">
        <v>40.243743440000003</v>
      </c>
      <c r="D107" s="10">
        <v>52.72614343999998</v>
      </c>
      <c r="E107" s="10">
        <v>-12.482400000000004</v>
      </c>
    </row>
    <row r="108" spans="1:5" x14ac:dyDescent="0.25">
      <c r="A108" s="7" t="s">
        <v>3</v>
      </c>
      <c r="B108" s="10">
        <v>75635.871499999994</v>
      </c>
      <c r="C108" s="10">
        <v>3.2952916000000005</v>
      </c>
      <c r="D108" s="10">
        <v>6.8819416000000011</v>
      </c>
      <c r="E108" s="10">
        <v>-3.5866499999999997</v>
      </c>
    </row>
    <row r="109" spans="1:5" x14ac:dyDescent="0.25">
      <c r="A109" s="8" t="s">
        <v>4</v>
      </c>
      <c r="B109" s="10">
        <v>10805.1245</v>
      </c>
      <c r="C109" s="10">
        <v>-0.42124977000000002</v>
      </c>
      <c r="D109" s="10">
        <v>0.42520023000000001</v>
      </c>
      <c r="E109" s="10">
        <v>-0.84645000000000004</v>
      </c>
    </row>
    <row r="110" spans="1:5" x14ac:dyDescent="0.25">
      <c r="A110" s="8" t="s">
        <v>9</v>
      </c>
      <c r="B110" s="10">
        <v>10805.1245</v>
      </c>
      <c r="C110" s="10">
        <v>0.48134774000000002</v>
      </c>
      <c r="D110" s="10">
        <v>0.62104773999999996</v>
      </c>
      <c r="E110" s="10">
        <v>-0.13969999999999999</v>
      </c>
    </row>
    <row r="111" spans="1:5" x14ac:dyDescent="0.25">
      <c r="A111" s="8" t="s">
        <v>8</v>
      </c>
      <c r="B111" s="10">
        <v>10805.1245</v>
      </c>
      <c r="C111" s="10">
        <v>-0.69825356999999999</v>
      </c>
      <c r="D111" s="10">
        <v>0.21034643</v>
      </c>
      <c r="E111" s="10">
        <v>-0.90859999999999996</v>
      </c>
    </row>
    <row r="112" spans="1:5" x14ac:dyDescent="0.25">
      <c r="A112" s="8" t="s">
        <v>11</v>
      </c>
      <c r="B112" s="10">
        <v>10805.1245</v>
      </c>
      <c r="C112" s="10">
        <v>-0.32528815</v>
      </c>
      <c r="D112" s="10">
        <v>0.51016185000000003</v>
      </c>
      <c r="E112" s="10">
        <v>-0.83545000000000003</v>
      </c>
    </row>
    <row r="113" spans="1:5" x14ac:dyDescent="0.25">
      <c r="A113" s="8" t="s">
        <v>12</v>
      </c>
      <c r="B113" s="10">
        <v>10805.1245</v>
      </c>
      <c r="C113" s="10">
        <v>-0.32528815</v>
      </c>
      <c r="D113" s="10">
        <v>0.51016185000000003</v>
      </c>
      <c r="E113" s="10">
        <v>-0.83545000000000003</v>
      </c>
    </row>
    <row r="114" spans="1:5" x14ac:dyDescent="0.25">
      <c r="A114" s="8" t="s">
        <v>7</v>
      </c>
      <c r="B114" s="10">
        <v>10805.1245</v>
      </c>
      <c r="C114" s="10">
        <v>1.7409311000000001</v>
      </c>
      <c r="D114" s="10">
        <v>1.7409311000000001</v>
      </c>
      <c r="E114" s="10">
        <v>0</v>
      </c>
    </row>
    <row r="115" spans="1:5" x14ac:dyDescent="0.25">
      <c r="A115" s="8" t="s">
        <v>10</v>
      </c>
      <c r="B115" s="10">
        <v>10805.1245</v>
      </c>
      <c r="C115" s="10">
        <v>2.8430924000000002</v>
      </c>
      <c r="D115" s="10">
        <v>2.8640924000000001</v>
      </c>
      <c r="E115" s="10">
        <v>-2.1000000000000001E-2</v>
      </c>
    </row>
    <row r="116" spans="1:5" x14ac:dyDescent="0.25">
      <c r="A116" s="7" t="s">
        <v>13</v>
      </c>
      <c r="B116" s="10">
        <v>1741.2157000000002</v>
      </c>
      <c r="C116" s="10">
        <v>4.4195079000000002</v>
      </c>
      <c r="D116" s="10">
        <v>6.1184079000000011</v>
      </c>
      <c r="E116" s="10">
        <v>-1.6988999999999999</v>
      </c>
    </row>
    <row r="117" spans="1:5" x14ac:dyDescent="0.25">
      <c r="A117" s="8" t="s">
        <v>17</v>
      </c>
      <c r="B117" s="10">
        <v>248.74510000000001</v>
      </c>
      <c r="C117" s="10">
        <v>1.7409311000000001</v>
      </c>
      <c r="D117" s="10">
        <v>1.7409311000000001</v>
      </c>
      <c r="E117" s="10">
        <v>0</v>
      </c>
    </row>
    <row r="118" spans="1:5" x14ac:dyDescent="0.25">
      <c r="A118" s="8" t="s">
        <v>11</v>
      </c>
      <c r="B118" s="10">
        <v>248.74510000000001</v>
      </c>
      <c r="C118" s="10">
        <v>-0.32528815</v>
      </c>
      <c r="D118" s="10">
        <v>0.51016185000000003</v>
      </c>
      <c r="E118" s="10">
        <v>-0.83545000000000003</v>
      </c>
    </row>
    <row r="119" spans="1:5" x14ac:dyDescent="0.25">
      <c r="A119" s="8" t="s">
        <v>12</v>
      </c>
      <c r="B119" s="10">
        <v>248.74510000000001</v>
      </c>
      <c r="C119" s="10">
        <v>-0.32528815</v>
      </c>
      <c r="D119" s="10">
        <v>0.51016185000000003</v>
      </c>
      <c r="E119" s="10">
        <v>-0.83545000000000003</v>
      </c>
    </row>
    <row r="120" spans="1:5" x14ac:dyDescent="0.25">
      <c r="A120" s="8" t="s">
        <v>14</v>
      </c>
      <c r="B120" s="10">
        <v>248.74510000000001</v>
      </c>
      <c r="C120" s="10">
        <v>0.17529323999999999</v>
      </c>
      <c r="D120" s="10">
        <v>0.17729323999999999</v>
      </c>
      <c r="E120" s="10">
        <v>-2E-3</v>
      </c>
    </row>
    <row r="121" spans="1:5" x14ac:dyDescent="0.25">
      <c r="A121" s="8" t="s">
        <v>15</v>
      </c>
      <c r="B121" s="10">
        <v>248.74510000000001</v>
      </c>
      <c r="C121" s="10">
        <v>0.15785514</v>
      </c>
      <c r="D121" s="10">
        <v>0.16285514000000001</v>
      </c>
      <c r="E121" s="10">
        <v>-5.0000000000000001E-3</v>
      </c>
    </row>
    <row r="122" spans="1:5" x14ac:dyDescent="0.25">
      <c r="A122" s="8" t="s">
        <v>16</v>
      </c>
      <c r="B122" s="10">
        <v>248.74510000000001</v>
      </c>
      <c r="C122" s="10">
        <v>0.15291231999999999</v>
      </c>
      <c r="D122" s="10">
        <v>0.15291231999999999</v>
      </c>
      <c r="E122" s="10">
        <v>0</v>
      </c>
    </row>
    <row r="123" spans="1:5" x14ac:dyDescent="0.25">
      <c r="A123" s="8" t="s">
        <v>10</v>
      </c>
      <c r="B123" s="10">
        <v>248.74510000000001</v>
      </c>
      <c r="C123" s="10">
        <v>2.8430924000000002</v>
      </c>
      <c r="D123" s="10">
        <v>2.8640924000000001</v>
      </c>
      <c r="E123" s="10">
        <v>-2.1000000000000001E-2</v>
      </c>
    </row>
    <row r="124" spans="1:5" x14ac:dyDescent="0.25">
      <c r="A124" s="7" t="s">
        <v>18</v>
      </c>
      <c r="B124" s="10">
        <v>32463.519749999992</v>
      </c>
      <c r="C124" s="10">
        <v>20.799021669999995</v>
      </c>
      <c r="D124" s="10">
        <v>24.729821670000003</v>
      </c>
      <c r="E124" s="10">
        <v>-3.9307999999999992</v>
      </c>
    </row>
    <row r="125" spans="1:5" x14ac:dyDescent="0.25">
      <c r="A125" s="8" t="s">
        <v>21</v>
      </c>
      <c r="B125" s="10">
        <v>2164.2346499999999</v>
      </c>
      <c r="C125" s="10">
        <v>5.0115335999999999</v>
      </c>
      <c r="D125" s="10">
        <v>5.0115335999999999</v>
      </c>
      <c r="E125" s="10">
        <v>0</v>
      </c>
    </row>
    <row r="126" spans="1:5" x14ac:dyDescent="0.25">
      <c r="A126" s="8" t="s">
        <v>19</v>
      </c>
      <c r="B126" s="10">
        <v>8656.9385999999995</v>
      </c>
      <c r="C126" s="10">
        <v>0.33793260000000003</v>
      </c>
      <c r="D126" s="10">
        <v>1.5059326</v>
      </c>
      <c r="E126" s="10">
        <v>-1.1679999999999999</v>
      </c>
    </row>
    <row r="127" spans="1:5" x14ac:dyDescent="0.25">
      <c r="A127" s="8" t="s">
        <v>8</v>
      </c>
      <c r="B127" s="10">
        <v>6492.7039499999992</v>
      </c>
      <c r="C127" s="10">
        <v>-2.0947607100000001</v>
      </c>
      <c r="D127" s="10">
        <v>0.63103929000000003</v>
      </c>
      <c r="E127" s="10">
        <v>-2.7258</v>
      </c>
    </row>
    <row r="128" spans="1:5" x14ac:dyDescent="0.25">
      <c r="A128" s="8" t="s">
        <v>20</v>
      </c>
      <c r="B128" s="10">
        <v>2164.2346499999999</v>
      </c>
      <c r="C128" s="10">
        <v>9.1452820999999993</v>
      </c>
      <c r="D128" s="10">
        <v>9.1542820999999996</v>
      </c>
      <c r="E128" s="10">
        <v>-8.9999999999999993E-3</v>
      </c>
    </row>
    <row r="129" spans="1:5" x14ac:dyDescent="0.25">
      <c r="A129" s="8" t="s">
        <v>7</v>
      </c>
      <c r="B129" s="10">
        <v>6492.7039499999992</v>
      </c>
      <c r="C129" s="10">
        <v>5.2227933000000002</v>
      </c>
      <c r="D129" s="10">
        <v>5.2227933000000002</v>
      </c>
      <c r="E129" s="10">
        <v>0</v>
      </c>
    </row>
    <row r="130" spans="1:5" x14ac:dyDescent="0.25">
      <c r="A130" s="8" t="s">
        <v>14</v>
      </c>
      <c r="B130" s="10">
        <v>2164.2346499999999</v>
      </c>
      <c r="C130" s="10">
        <v>0.17529323999999999</v>
      </c>
      <c r="D130" s="10">
        <v>0.17729323999999999</v>
      </c>
      <c r="E130" s="10">
        <v>-2E-3</v>
      </c>
    </row>
    <row r="131" spans="1:5" x14ac:dyDescent="0.25">
      <c r="A131" s="8" t="s">
        <v>15</v>
      </c>
      <c r="B131" s="10">
        <v>2164.2346499999999</v>
      </c>
      <c r="C131" s="10">
        <v>0.15785514</v>
      </c>
      <c r="D131" s="10">
        <v>0.16285514000000001</v>
      </c>
      <c r="E131" s="10">
        <v>-5.0000000000000001E-3</v>
      </c>
    </row>
    <row r="132" spans="1:5" x14ac:dyDescent="0.25">
      <c r="A132" s="8" t="s">
        <v>10</v>
      </c>
      <c r="B132" s="10">
        <v>2164.2346499999999</v>
      </c>
      <c r="C132" s="10">
        <v>2.8430924000000002</v>
      </c>
      <c r="D132" s="10">
        <v>2.8640924000000001</v>
      </c>
      <c r="E132" s="10">
        <v>-2.1000000000000001E-2</v>
      </c>
    </row>
    <row r="133" spans="1:5" x14ac:dyDescent="0.25">
      <c r="A133" s="7" t="s">
        <v>22</v>
      </c>
      <c r="B133" s="10">
        <v>1440.6359999999997</v>
      </c>
      <c r="C133" s="10">
        <v>11.729922270000001</v>
      </c>
      <c r="D133" s="10">
        <v>14.995972269999998</v>
      </c>
      <c r="E133" s="10">
        <v>-3.2660499999999999</v>
      </c>
    </row>
    <row r="134" spans="1:5" x14ac:dyDescent="0.25">
      <c r="A134" s="8" t="s">
        <v>21</v>
      </c>
      <c r="B134" s="10">
        <v>144.06360000000001</v>
      </c>
      <c r="C134" s="10">
        <v>5.0115335999999999</v>
      </c>
      <c r="D134" s="10">
        <v>5.0115335999999999</v>
      </c>
      <c r="E134" s="10">
        <v>0</v>
      </c>
    </row>
    <row r="135" spans="1:5" x14ac:dyDescent="0.25">
      <c r="A135" s="8" t="s">
        <v>23</v>
      </c>
      <c r="B135" s="10">
        <v>288.12720000000002</v>
      </c>
      <c r="C135" s="10">
        <v>0.16896630000000001</v>
      </c>
      <c r="D135" s="10">
        <v>0.75296629999999998</v>
      </c>
      <c r="E135" s="10">
        <v>-0.58399999999999996</v>
      </c>
    </row>
    <row r="136" spans="1:5" x14ac:dyDescent="0.25">
      <c r="A136" s="8" t="s">
        <v>25</v>
      </c>
      <c r="B136" s="10">
        <v>144.06360000000001</v>
      </c>
      <c r="C136" s="10">
        <v>-1.2006950000000001E-2</v>
      </c>
      <c r="D136" s="10">
        <v>0.87899305000000005</v>
      </c>
      <c r="E136" s="10">
        <v>-0.89100000000000001</v>
      </c>
    </row>
    <row r="137" spans="1:5" x14ac:dyDescent="0.25">
      <c r="A137" s="8" t="s">
        <v>24</v>
      </c>
      <c r="B137" s="10">
        <v>144.06360000000001</v>
      </c>
      <c r="C137" s="10">
        <v>2.8430924000000002</v>
      </c>
      <c r="D137" s="10">
        <v>2.8640924000000001</v>
      </c>
      <c r="E137" s="10">
        <v>-2.1000000000000001E-2</v>
      </c>
    </row>
    <row r="138" spans="1:5" x14ac:dyDescent="0.25">
      <c r="A138" s="8" t="s">
        <v>8</v>
      </c>
      <c r="B138" s="10">
        <v>144.06360000000001</v>
      </c>
      <c r="C138" s="10">
        <v>-0.69825356999999999</v>
      </c>
      <c r="D138" s="10">
        <v>0.21034643</v>
      </c>
      <c r="E138" s="10">
        <v>-0.90859999999999996</v>
      </c>
    </row>
    <row r="139" spans="1:5" x14ac:dyDescent="0.25">
      <c r="A139" s="8" t="s">
        <v>11</v>
      </c>
      <c r="B139" s="10">
        <v>144.06360000000001</v>
      </c>
      <c r="C139" s="10">
        <v>-0.32528815</v>
      </c>
      <c r="D139" s="10">
        <v>0.51016185000000003</v>
      </c>
      <c r="E139" s="10">
        <v>-0.83545000000000003</v>
      </c>
    </row>
    <row r="140" spans="1:5" x14ac:dyDescent="0.25">
      <c r="A140" s="8" t="s">
        <v>7</v>
      </c>
      <c r="B140" s="10">
        <v>144.06360000000001</v>
      </c>
      <c r="C140" s="10">
        <v>1.7409311000000001</v>
      </c>
      <c r="D140" s="10">
        <v>1.7409311000000001</v>
      </c>
      <c r="E140" s="10">
        <v>0</v>
      </c>
    </row>
    <row r="141" spans="1:5" x14ac:dyDescent="0.25">
      <c r="A141" s="8" t="s">
        <v>15</v>
      </c>
      <c r="B141" s="10">
        <v>144.06360000000001</v>
      </c>
      <c r="C141" s="10">
        <v>0.15785514</v>
      </c>
      <c r="D141" s="10">
        <v>0.16285514000000001</v>
      </c>
      <c r="E141" s="10">
        <v>-5.0000000000000001E-3</v>
      </c>
    </row>
    <row r="142" spans="1:5" x14ac:dyDescent="0.25">
      <c r="A142" s="8" t="s">
        <v>26</v>
      </c>
      <c r="B142" s="10">
        <v>144.06360000000001</v>
      </c>
      <c r="C142" s="10">
        <v>2.8430924000000002</v>
      </c>
      <c r="D142" s="10">
        <v>2.8640924000000001</v>
      </c>
      <c r="E142" s="10">
        <v>-2.1000000000000001E-2</v>
      </c>
    </row>
    <row r="143" spans="1:5" x14ac:dyDescent="0.25">
      <c r="A143" s="6" t="s">
        <v>70</v>
      </c>
      <c r="B143" s="10">
        <v>3327</v>
      </c>
      <c r="C143" s="10">
        <v>1.1321435900000001</v>
      </c>
      <c r="D143" s="10">
        <v>1.1321435900000001</v>
      </c>
      <c r="E143" s="10">
        <v>0</v>
      </c>
    </row>
    <row r="144" spans="1:5" x14ac:dyDescent="0.25">
      <c r="A144" s="7" t="s">
        <v>69</v>
      </c>
      <c r="B144" s="10">
        <v>2146</v>
      </c>
      <c r="C144" s="10">
        <v>0.15291231999999999</v>
      </c>
      <c r="D144" s="10">
        <v>0.15291231999999999</v>
      </c>
      <c r="E144" s="10">
        <v>0</v>
      </c>
    </row>
    <row r="145" spans="1:5" x14ac:dyDescent="0.25">
      <c r="A145" s="8" t="s">
        <v>16</v>
      </c>
      <c r="B145" s="10">
        <v>2146</v>
      </c>
      <c r="C145" s="10">
        <v>0.15291231999999999</v>
      </c>
      <c r="D145" s="10">
        <v>0.15291231999999999</v>
      </c>
      <c r="E145" s="10">
        <v>0</v>
      </c>
    </row>
    <row r="146" spans="1:5" x14ac:dyDescent="0.25">
      <c r="A146" s="7" t="s">
        <v>71</v>
      </c>
      <c r="B146" s="10">
        <v>1181</v>
      </c>
      <c r="C146" s="10">
        <v>0.97923126999999999</v>
      </c>
      <c r="D146" s="10">
        <v>0.97923126999999999</v>
      </c>
      <c r="E146" s="10">
        <v>0</v>
      </c>
    </row>
    <row r="147" spans="1:5" x14ac:dyDescent="0.25">
      <c r="A147" s="8" t="s">
        <v>72</v>
      </c>
      <c r="B147" s="10">
        <v>1181</v>
      </c>
      <c r="C147" s="10">
        <v>0.97923126999999999</v>
      </c>
      <c r="D147" s="10">
        <v>0.97923126999999999</v>
      </c>
      <c r="E147" s="10">
        <v>0</v>
      </c>
    </row>
    <row r="148" spans="1:5" x14ac:dyDescent="0.25">
      <c r="A148" s="6" t="s">
        <v>74</v>
      </c>
      <c r="B148" s="10">
        <v>4198</v>
      </c>
      <c r="C148" s="10">
        <v>0.30582463999999998</v>
      </c>
      <c r="D148" s="10">
        <v>0.30582463999999998</v>
      </c>
      <c r="E148" s="10">
        <v>0</v>
      </c>
    </row>
    <row r="149" spans="1:5" x14ac:dyDescent="0.25">
      <c r="A149" s="7" t="s">
        <v>73</v>
      </c>
      <c r="B149" s="10">
        <v>4035</v>
      </c>
      <c r="C149" s="10">
        <v>0.15291231999999999</v>
      </c>
      <c r="D149" s="10">
        <v>0.15291231999999999</v>
      </c>
      <c r="E149" s="10">
        <v>0</v>
      </c>
    </row>
    <row r="150" spans="1:5" x14ac:dyDescent="0.25">
      <c r="A150" s="8" t="s">
        <v>16</v>
      </c>
      <c r="B150" s="10">
        <v>4035</v>
      </c>
      <c r="C150" s="10">
        <v>0.15291231999999999</v>
      </c>
      <c r="D150" s="10">
        <v>0.15291231999999999</v>
      </c>
      <c r="E150" s="10">
        <v>0</v>
      </c>
    </row>
    <row r="151" spans="1:5" x14ac:dyDescent="0.25">
      <c r="A151" s="7" t="s">
        <v>77</v>
      </c>
      <c r="B151" s="10">
        <v>163</v>
      </c>
      <c r="C151" s="10">
        <v>0.15291231999999999</v>
      </c>
      <c r="D151" s="10">
        <v>0.15291231999999999</v>
      </c>
      <c r="E151" s="10">
        <v>0</v>
      </c>
    </row>
    <row r="152" spans="1:5" x14ac:dyDescent="0.25">
      <c r="A152" s="8" t="s">
        <v>16</v>
      </c>
      <c r="B152" s="10">
        <v>163</v>
      </c>
      <c r="C152" s="10">
        <v>0.15291231999999999</v>
      </c>
      <c r="D152" s="10">
        <v>0.15291231999999999</v>
      </c>
      <c r="E152" s="10">
        <v>0</v>
      </c>
    </row>
    <row r="153" spans="1:5" x14ac:dyDescent="0.25">
      <c r="A153" s="6" t="s">
        <v>85</v>
      </c>
      <c r="B153" s="10">
        <v>2504.0408199999997</v>
      </c>
      <c r="C153" s="10">
        <v>3.1302658000000001</v>
      </c>
      <c r="D153" s="10">
        <v>3.2032658000000001</v>
      </c>
      <c r="E153" s="10">
        <v>-7.3000000000000009E-2</v>
      </c>
    </row>
    <row r="154" spans="1:5" x14ac:dyDescent="0.25">
      <c r="A154" s="7" t="s">
        <v>83</v>
      </c>
      <c r="B154" s="10">
        <v>2504.0408199999997</v>
      </c>
      <c r="C154" s="10">
        <v>3.1302658000000001</v>
      </c>
      <c r="D154" s="10">
        <v>3.2032658000000001</v>
      </c>
      <c r="E154" s="10">
        <v>-7.3000000000000009E-2</v>
      </c>
    </row>
    <row r="155" spans="1:5" x14ac:dyDescent="0.25">
      <c r="A155" s="8" t="s">
        <v>86</v>
      </c>
      <c r="B155" s="10">
        <v>1001.616328</v>
      </c>
      <c r="C155" s="10">
        <v>0.36265501999999999</v>
      </c>
      <c r="D155" s="10">
        <v>0.42665502</v>
      </c>
      <c r="E155" s="10">
        <v>-6.4000000000000001E-2</v>
      </c>
    </row>
    <row r="156" spans="1:5" x14ac:dyDescent="0.25">
      <c r="A156" s="8" t="s">
        <v>84</v>
      </c>
      <c r="B156" s="10">
        <v>500.80816399999998</v>
      </c>
      <c r="C156" s="10">
        <v>2.4170243</v>
      </c>
      <c r="D156" s="10">
        <v>2.4220242999999999</v>
      </c>
      <c r="E156" s="10">
        <v>-5.0000000000000001E-3</v>
      </c>
    </row>
    <row r="157" spans="1:5" x14ac:dyDescent="0.25">
      <c r="A157" s="8" t="s">
        <v>14</v>
      </c>
      <c r="B157" s="10">
        <v>1001.616328</v>
      </c>
      <c r="C157" s="10">
        <v>0.35058647999999998</v>
      </c>
      <c r="D157" s="10">
        <v>0.35458647999999998</v>
      </c>
      <c r="E157" s="10">
        <v>-4.0000000000000001E-3</v>
      </c>
    </row>
    <row r="158" spans="1:5" x14ac:dyDescent="0.25">
      <c r="A158" s="6" t="s">
        <v>100</v>
      </c>
      <c r="B158" s="10">
        <v>420.5</v>
      </c>
      <c r="C158" s="10">
        <v>0.15291231999999999</v>
      </c>
      <c r="D158" s="10">
        <v>0.15291231999999999</v>
      </c>
      <c r="E158" s="10">
        <v>0</v>
      </c>
    </row>
    <row r="159" spans="1:5" x14ac:dyDescent="0.25">
      <c r="A159" s="7" t="s">
        <v>76</v>
      </c>
      <c r="B159" s="10">
        <v>420.5</v>
      </c>
      <c r="C159" s="10">
        <v>0.15291231999999999</v>
      </c>
      <c r="D159" s="10">
        <v>0.15291231999999999</v>
      </c>
      <c r="E159" s="10">
        <v>0</v>
      </c>
    </row>
    <row r="160" spans="1:5" x14ac:dyDescent="0.25">
      <c r="A160" s="8" t="s">
        <v>16</v>
      </c>
      <c r="B160" s="10">
        <v>420.5</v>
      </c>
      <c r="C160" s="10">
        <v>0.15291231999999999</v>
      </c>
      <c r="D160" s="10">
        <v>0.15291231999999999</v>
      </c>
      <c r="E160" s="10">
        <v>0</v>
      </c>
    </row>
    <row r="161" spans="1:5" x14ac:dyDescent="0.25">
      <c r="A161" s="5" t="s">
        <v>95</v>
      </c>
      <c r="B161" s="10">
        <v>382648.69576999993</v>
      </c>
      <c r="C161" s="10">
        <v>348.91505164989979</v>
      </c>
      <c r="D161" s="10">
        <v>423.98932553689991</v>
      </c>
      <c r="E161" s="10">
        <v>-75.074273886999976</v>
      </c>
    </row>
  </sheetData>
  <pageMargins left="0.7" right="0.7" top="0.78740157499999996" bottom="0.78740157499999996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AF7E0-865F-4996-A1D3-D19D0AEC4658}">
  <sheetPr codeName="Tabelle5"/>
  <dimension ref="A8:G189"/>
  <sheetViews>
    <sheetView tabSelected="1" workbookViewId="0">
      <selection activeCell="A12" sqref="A12"/>
    </sheetView>
  </sheetViews>
  <sheetFormatPr baseColWidth="10" defaultRowHeight="15" x14ac:dyDescent="0.25"/>
  <cols>
    <col min="1" max="1" width="81" bestFit="1" customWidth="1"/>
    <col min="2" max="2" width="26" bestFit="1" customWidth="1"/>
    <col min="3" max="3" width="25.7109375" bestFit="1" customWidth="1"/>
    <col min="4" max="4" width="26.7109375" bestFit="1" customWidth="1"/>
    <col min="5" max="6" width="29.42578125" bestFit="1" customWidth="1"/>
    <col min="7" max="7" width="5.5703125" bestFit="1" customWidth="1"/>
    <col min="8" max="8" width="4.5703125" bestFit="1" customWidth="1"/>
    <col min="9" max="9" width="6.5703125" bestFit="1" customWidth="1"/>
    <col min="10" max="10" width="26.7109375" bestFit="1" customWidth="1"/>
    <col min="11" max="11" width="5.5703125" bestFit="1" customWidth="1"/>
    <col min="12" max="13" width="6.5703125" bestFit="1" customWidth="1"/>
    <col min="14" max="14" width="29.42578125" bestFit="1" customWidth="1"/>
    <col min="15" max="15" width="5.28515625" bestFit="1" customWidth="1"/>
    <col min="16" max="16" width="7.28515625" bestFit="1" customWidth="1"/>
    <col min="17" max="17" width="5.28515625" bestFit="1" customWidth="1"/>
    <col min="18" max="18" width="36.7109375" bestFit="1" customWidth="1"/>
    <col min="19" max="19" width="34" bestFit="1" customWidth="1"/>
    <col min="20" max="20" width="34.85546875" bestFit="1" customWidth="1"/>
    <col min="21" max="21" width="37.7109375" bestFit="1" customWidth="1"/>
    <col min="22" max="22" width="28.42578125" bestFit="1" customWidth="1"/>
    <col min="23" max="23" width="25.7109375" bestFit="1" customWidth="1"/>
    <col min="24" max="24" width="26.7109375" bestFit="1" customWidth="1"/>
    <col min="25" max="25" width="29.42578125" bestFit="1" customWidth="1"/>
    <col min="26" max="26" width="28.42578125" bestFit="1" customWidth="1"/>
    <col min="27" max="27" width="25.7109375" bestFit="1" customWidth="1"/>
    <col min="28" max="28" width="26.7109375" bestFit="1" customWidth="1"/>
    <col min="29" max="29" width="29.42578125" bestFit="1" customWidth="1"/>
    <col min="30" max="30" width="28.42578125" bestFit="1" customWidth="1"/>
    <col min="31" max="31" width="25.7109375" bestFit="1" customWidth="1"/>
    <col min="32" max="32" width="26.7109375" bestFit="1" customWidth="1"/>
    <col min="33" max="33" width="29.42578125" bestFit="1" customWidth="1"/>
    <col min="34" max="34" width="48.5703125" bestFit="1" customWidth="1"/>
    <col min="35" max="35" width="25.7109375" bestFit="1" customWidth="1"/>
    <col min="36" max="36" width="26.7109375" bestFit="1" customWidth="1"/>
    <col min="37" max="37" width="29.42578125" bestFit="1" customWidth="1"/>
    <col min="38" max="38" width="28.42578125" bestFit="1" customWidth="1"/>
    <col min="39" max="39" width="25.7109375" bestFit="1" customWidth="1"/>
    <col min="40" max="40" width="26.7109375" bestFit="1" customWidth="1"/>
    <col min="41" max="41" width="29.42578125" bestFit="1" customWidth="1"/>
    <col min="42" max="42" width="45.140625" bestFit="1" customWidth="1"/>
    <col min="43" max="43" width="25.7109375" bestFit="1" customWidth="1"/>
    <col min="44" max="44" width="26.7109375" bestFit="1" customWidth="1"/>
    <col min="45" max="45" width="29.42578125" bestFit="1" customWidth="1"/>
    <col min="46" max="46" width="53.5703125" bestFit="1" customWidth="1"/>
    <col min="47" max="47" width="25.7109375" bestFit="1" customWidth="1"/>
    <col min="48" max="48" width="26.7109375" bestFit="1" customWidth="1"/>
    <col min="49" max="49" width="29.42578125" bestFit="1" customWidth="1"/>
    <col min="50" max="50" width="49" bestFit="1" customWidth="1"/>
    <col min="51" max="51" width="25.7109375" bestFit="1" customWidth="1"/>
    <col min="52" max="52" width="26.7109375" bestFit="1" customWidth="1"/>
    <col min="53" max="53" width="29.42578125" bestFit="1" customWidth="1"/>
    <col min="54" max="54" width="28.42578125" bestFit="1" customWidth="1"/>
    <col min="55" max="55" width="25.7109375" bestFit="1" customWidth="1"/>
    <col min="56" max="56" width="26.7109375" bestFit="1" customWidth="1"/>
    <col min="57" max="57" width="29.42578125" bestFit="1" customWidth="1"/>
    <col min="58" max="58" width="28.42578125" bestFit="1" customWidth="1"/>
    <col min="59" max="59" width="25.7109375" bestFit="1" customWidth="1"/>
    <col min="60" max="60" width="26.7109375" bestFit="1" customWidth="1"/>
    <col min="61" max="61" width="29.42578125" bestFit="1" customWidth="1"/>
    <col min="62" max="62" width="43.42578125" bestFit="1" customWidth="1"/>
    <col min="63" max="63" width="25.7109375" bestFit="1" customWidth="1"/>
    <col min="64" max="64" width="26.7109375" bestFit="1" customWidth="1"/>
    <col min="65" max="65" width="29.42578125" bestFit="1" customWidth="1"/>
    <col min="66" max="66" width="28.42578125" bestFit="1" customWidth="1"/>
    <col min="67" max="67" width="25.7109375" bestFit="1" customWidth="1"/>
    <col min="68" max="68" width="26.7109375" bestFit="1" customWidth="1"/>
    <col min="69" max="69" width="29.42578125" bestFit="1" customWidth="1"/>
    <col min="70" max="70" width="41.42578125" bestFit="1" customWidth="1"/>
    <col min="71" max="71" width="25.7109375" bestFit="1" customWidth="1"/>
    <col min="72" max="72" width="26.7109375" bestFit="1" customWidth="1"/>
    <col min="73" max="73" width="29.42578125" bestFit="1" customWidth="1"/>
    <col min="74" max="74" width="28.42578125" bestFit="1" customWidth="1"/>
    <col min="75" max="75" width="25.7109375" bestFit="1" customWidth="1"/>
    <col min="76" max="76" width="26.7109375" bestFit="1" customWidth="1"/>
    <col min="77" max="77" width="29.42578125" bestFit="1" customWidth="1"/>
    <col min="78" max="78" width="28.42578125" bestFit="1" customWidth="1"/>
    <col min="79" max="79" width="25.7109375" bestFit="1" customWidth="1"/>
    <col min="80" max="80" width="26.7109375" bestFit="1" customWidth="1"/>
    <col min="81" max="81" width="29.42578125" bestFit="1" customWidth="1"/>
    <col min="82" max="82" width="28.42578125" bestFit="1" customWidth="1"/>
    <col min="83" max="83" width="25.7109375" bestFit="1" customWidth="1"/>
    <col min="84" max="84" width="26.7109375" bestFit="1" customWidth="1"/>
    <col min="85" max="85" width="29.42578125" bestFit="1" customWidth="1"/>
    <col min="86" max="86" width="28.42578125" bestFit="1" customWidth="1"/>
    <col min="87" max="87" width="25.7109375" bestFit="1" customWidth="1"/>
    <col min="88" max="88" width="26.7109375" bestFit="1" customWidth="1"/>
    <col min="89" max="89" width="29.42578125" bestFit="1" customWidth="1"/>
    <col min="90" max="90" width="32.140625" bestFit="1" customWidth="1"/>
    <col min="91" max="91" width="25.7109375" bestFit="1" customWidth="1"/>
    <col min="92" max="92" width="26.7109375" bestFit="1" customWidth="1"/>
    <col min="93" max="93" width="29.42578125" bestFit="1" customWidth="1"/>
    <col min="94" max="94" width="33.7109375" bestFit="1" customWidth="1"/>
    <col min="95" max="95" width="25.7109375" bestFit="1" customWidth="1"/>
    <col min="96" max="96" width="26.7109375" bestFit="1" customWidth="1"/>
    <col min="97" max="97" width="29.42578125" bestFit="1" customWidth="1"/>
    <col min="98" max="98" width="28.42578125" bestFit="1" customWidth="1"/>
    <col min="99" max="99" width="25.7109375" bestFit="1" customWidth="1"/>
    <col min="100" max="100" width="26.7109375" bestFit="1" customWidth="1"/>
    <col min="101" max="101" width="29.42578125" bestFit="1" customWidth="1"/>
    <col min="102" max="102" width="44.42578125" bestFit="1" customWidth="1"/>
    <col min="103" max="103" width="25.7109375" bestFit="1" customWidth="1"/>
    <col min="104" max="104" width="26.7109375" bestFit="1" customWidth="1"/>
    <col min="105" max="105" width="29.42578125" bestFit="1" customWidth="1"/>
    <col min="106" max="106" width="30.5703125" bestFit="1" customWidth="1"/>
    <col min="107" max="107" width="25.7109375" bestFit="1" customWidth="1"/>
    <col min="108" max="108" width="26.7109375" bestFit="1" customWidth="1"/>
    <col min="109" max="109" width="29.42578125" bestFit="1" customWidth="1"/>
    <col min="110" max="110" width="28.42578125" bestFit="1" customWidth="1"/>
    <col min="111" max="111" width="25.7109375" bestFit="1" customWidth="1"/>
    <col min="112" max="112" width="26.7109375" bestFit="1" customWidth="1"/>
    <col min="113" max="113" width="29.42578125" bestFit="1" customWidth="1"/>
    <col min="114" max="114" width="56.5703125" bestFit="1" customWidth="1"/>
    <col min="115" max="115" width="25.7109375" bestFit="1" customWidth="1"/>
    <col min="116" max="116" width="26.7109375" bestFit="1" customWidth="1"/>
    <col min="117" max="117" width="29.42578125" bestFit="1" customWidth="1"/>
    <col min="118" max="118" width="36.28515625" bestFit="1" customWidth="1"/>
    <col min="119" max="119" width="25.7109375" bestFit="1" customWidth="1"/>
    <col min="120" max="120" width="26.7109375" bestFit="1" customWidth="1"/>
    <col min="121" max="121" width="29.42578125" bestFit="1" customWidth="1"/>
    <col min="122" max="122" width="40.5703125" bestFit="1" customWidth="1"/>
    <col min="123" max="123" width="25.7109375" bestFit="1" customWidth="1"/>
    <col min="124" max="124" width="26.7109375" bestFit="1" customWidth="1"/>
    <col min="125" max="125" width="29.42578125" bestFit="1" customWidth="1"/>
    <col min="126" max="126" width="28.42578125" bestFit="1" customWidth="1"/>
    <col min="127" max="127" width="25.7109375" bestFit="1" customWidth="1"/>
    <col min="128" max="128" width="26.7109375" bestFit="1" customWidth="1"/>
    <col min="129" max="129" width="29.42578125" bestFit="1" customWidth="1"/>
    <col min="130" max="130" width="28.42578125" bestFit="1" customWidth="1"/>
    <col min="131" max="131" width="25.7109375" bestFit="1" customWidth="1"/>
    <col min="132" max="132" width="26.7109375" bestFit="1" customWidth="1"/>
    <col min="133" max="133" width="29.42578125" bestFit="1" customWidth="1"/>
    <col min="134" max="134" width="28.42578125" bestFit="1" customWidth="1"/>
    <col min="135" max="135" width="25.7109375" bestFit="1" customWidth="1"/>
    <col min="136" max="136" width="26.7109375" bestFit="1" customWidth="1"/>
    <col min="137" max="137" width="29.42578125" bestFit="1" customWidth="1"/>
    <col min="138" max="138" width="76" bestFit="1" customWidth="1"/>
    <col min="139" max="139" width="25.7109375" bestFit="1" customWidth="1"/>
    <col min="140" max="140" width="26.7109375" bestFit="1" customWidth="1"/>
    <col min="141" max="141" width="29.42578125" bestFit="1" customWidth="1"/>
    <col min="142" max="142" width="61.42578125" bestFit="1" customWidth="1"/>
    <col min="143" max="143" width="25.7109375" bestFit="1" customWidth="1"/>
    <col min="144" max="144" width="26.7109375" bestFit="1" customWidth="1"/>
    <col min="145" max="145" width="29.42578125" bestFit="1" customWidth="1"/>
    <col min="146" max="146" width="37.140625" bestFit="1" customWidth="1"/>
    <col min="147" max="147" width="25.7109375" bestFit="1" customWidth="1"/>
    <col min="148" max="148" width="26.7109375" bestFit="1" customWidth="1"/>
    <col min="149" max="149" width="29.42578125" bestFit="1" customWidth="1"/>
    <col min="150" max="150" width="28.42578125" bestFit="1" customWidth="1"/>
    <col min="151" max="151" width="25.7109375" bestFit="1" customWidth="1"/>
    <col min="152" max="152" width="26.7109375" bestFit="1" customWidth="1"/>
    <col min="153" max="153" width="29.42578125" bestFit="1" customWidth="1"/>
    <col min="154" max="154" width="28.42578125" bestFit="1" customWidth="1"/>
    <col min="155" max="155" width="25.7109375" bestFit="1" customWidth="1"/>
    <col min="156" max="156" width="26.7109375" bestFit="1" customWidth="1"/>
    <col min="157" max="157" width="29.42578125" bestFit="1" customWidth="1"/>
    <col min="158" max="158" width="30.7109375" bestFit="1" customWidth="1"/>
    <col min="159" max="159" width="25.7109375" bestFit="1" customWidth="1"/>
    <col min="160" max="160" width="26.7109375" bestFit="1" customWidth="1"/>
    <col min="161" max="161" width="29.42578125" bestFit="1" customWidth="1"/>
    <col min="162" max="162" width="55.5703125" bestFit="1" customWidth="1"/>
    <col min="163" max="163" width="25.7109375" bestFit="1" customWidth="1"/>
    <col min="164" max="164" width="26.7109375" bestFit="1" customWidth="1"/>
    <col min="165" max="165" width="29.42578125" bestFit="1" customWidth="1"/>
    <col min="166" max="166" width="44.7109375" bestFit="1" customWidth="1"/>
    <col min="167" max="167" width="25.7109375" bestFit="1" customWidth="1"/>
    <col min="168" max="168" width="26.7109375" bestFit="1" customWidth="1"/>
    <col min="169" max="169" width="29.42578125" bestFit="1" customWidth="1"/>
    <col min="170" max="170" width="28.42578125" bestFit="1" customWidth="1"/>
    <col min="171" max="171" width="25.7109375" bestFit="1" customWidth="1"/>
    <col min="172" max="172" width="26.7109375" bestFit="1" customWidth="1"/>
    <col min="173" max="173" width="29.42578125" bestFit="1" customWidth="1"/>
    <col min="174" max="174" width="28.42578125" bestFit="1" customWidth="1"/>
    <col min="175" max="175" width="25.7109375" bestFit="1" customWidth="1"/>
    <col min="176" max="176" width="26.7109375" bestFit="1" customWidth="1"/>
    <col min="177" max="177" width="29.42578125" bestFit="1" customWidth="1"/>
    <col min="178" max="178" width="28.42578125" bestFit="1" customWidth="1"/>
    <col min="179" max="179" width="25.7109375" bestFit="1" customWidth="1"/>
    <col min="180" max="180" width="26.7109375" bestFit="1" customWidth="1"/>
    <col min="181" max="181" width="29.42578125" bestFit="1" customWidth="1"/>
    <col min="182" max="182" width="37.5703125" bestFit="1" customWidth="1"/>
    <col min="183" max="183" width="25.7109375" bestFit="1" customWidth="1"/>
    <col min="184" max="184" width="26.7109375" bestFit="1" customWidth="1"/>
    <col min="185" max="185" width="29.42578125" bestFit="1" customWidth="1"/>
    <col min="186" max="186" width="43.85546875" bestFit="1" customWidth="1"/>
    <col min="187" max="187" width="25.7109375" bestFit="1" customWidth="1"/>
    <col min="188" max="188" width="26.7109375" bestFit="1" customWidth="1"/>
    <col min="189" max="189" width="29.42578125" bestFit="1" customWidth="1"/>
    <col min="190" max="190" width="28.42578125" bestFit="1" customWidth="1"/>
    <col min="191" max="191" width="25.7109375" bestFit="1" customWidth="1"/>
    <col min="192" max="192" width="26.7109375" bestFit="1" customWidth="1"/>
    <col min="193" max="193" width="29.42578125" bestFit="1" customWidth="1"/>
    <col min="194" max="194" width="33" bestFit="1" customWidth="1"/>
    <col min="195" max="195" width="25.7109375" bestFit="1" customWidth="1"/>
    <col min="196" max="196" width="26.7109375" bestFit="1" customWidth="1"/>
    <col min="197" max="197" width="29.42578125" bestFit="1" customWidth="1"/>
    <col min="198" max="198" width="46.7109375" bestFit="1" customWidth="1"/>
    <col min="199" max="199" width="25.7109375" bestFit="1" customWidth="1"/>
    <col min="200" max="200" width="26.7109375" bestFit="1" customWidth="1"/>
    <col min="201" max="201" width="29.42578125" bestFit="1" customWidth="1"/>
    <col min="202" max="202" width="28.42578125" bestFit="1" customWidth="1"/>
    <col min="203" max="203" width="25.7109375" bestFit="1" customWidth="1"/>
    <col min="204" max="204" width="26.7109375" bestFit="1" customWidth="1"/>
    <col min="205" max="205" width="29.42578125" bestFit="1" customWidth="1"/>
    <col min="206" max="206" width="28.42578125" bestFit="1" customWidth="1"/>
    <col min="207" max="207" width="25.7109375" bestFit="1" customWidth="1"/>
    <col min="208" max="208" width="26.7109375" bestFit="1" customWidth="1"/>
    <col min="209" max="209" width="29.42578125" bestFit="1" customWidth="1"/>
    <col min="210" max="210" width="28.42578125" bestFit="1" customWidth="1"/>
    <col min="211" max="211" width="25.7109375" bestFit="1" customWidth="1"/>
    <col min="212" max="212" width="26.7109375" bestFit="1" customWidth="1"/>
    <col min="213" max="213" width="29.42578125" bestFit="1" customWidth="1"/>
    <col min="214" max="214" width="28.42578125" bestFit="1" customWidth="1"/>
    <col min="215" max="215" width="25.7109375" bestFit="1" customWidth="1"/>
    <col min="216" max="216" width="26.7109375" bestFit="1" customWidth="1"/>
    <col min="217" max="217" width="29.42578125" bestFit="1" customWidth="1"/>
    <col min="218" max="218" width="43.5703125" bestFit="1" customWidth="1"/>
    <col min="219" max="219" width="25.7109375" bestFit="1" customWidth="1"/>
    <col min="220" max="220" width="26.7109375" bestFit="1" customWidth="1"/>
    <col min="221" max="221" width="29.42578125" bestFit="1" customWidth="1"/>
    <col min="222" max="222" width="47.7109375" bestFit="1" customWidth="1"/>
    <col min="223" max="223" width="25.7109375" bestFit="1" customWidth="1"/>
    <col min="224" max="224" width="26.7109375" bestFit="1" customWidth="1"/>
    <col min="225" max="225" width="29.42578125" bestFit="1" customWidth="1"/>
    <col min="226" max="226" width="28.42578125" bestFit="1" customWidth="1"/>
    <col min="227" max="227" width="25.7109375" bestFit="1" customWidth="1"/>
    <col min="228" max="228" width="26.7109375" bestFit="1" customWidth="1"/>
    <col min="229" max="229" width="29.42578125" bestFit="1" customWidth="1"/>
    <col min="230" max="230" width="29.28515625" bestFit="1" customWidth="1"/>
    <col min="231" max="231" width="25.7109375" bestFit="1" customWidth="1"/>
    <col min="232" max="232" width="26.7109375" bestFit="1" customWidth="1"/>
    <col min="233" max="233" width="29.42578125" bestFit="1" customWidth="1"/>
    <col min="234" max="234" width="32.140625" bestFit="1" customWidth="1"/>
    <col min="235" max="235" width="25.7109375" bestFit="1" customWidth="1"/>
    <col min="236" max="236" width="26.7109375" bestFit="1" customWidth="1"/>
    <col min="237" max="237" width="29.42578125" bestFit="1" customWidth="1"/>
    <col min="238" max="238" width="28.42578125" bestFit="1" customWidth="1"/>
    <col min="239" max="239" width="25.7109375" bestFit="1" customWidth="1"/>
    <col min="240" max="240" width="26.7109375" bestFit="1" customWidth="1"/>
    <col min="241" max="241" width="29.42578125" bestFit="1" customWidth="1"/>
    <col min="242" max="242" width="36.7109375" bestFit="1" customWidth="1"/>
    <col min="243" max="243" width="34" bestFit="1" customWidth="1"/>
    <col min="244" max="244" width="34.85546875" bestFit="1" customWidth="1"/>
    <col min="245" max="245" width="37.7109375" bestFit="1" customWidth="1"/>
  </cols>
  <sheetData>
    <row r="8" spans="1:7" ht="21.75" thickBot="1" x14ac:dyDescent="0.4">
      <c r="A8" s="11" t="s">
        <v>277</v>
      </c>
      <c r="B8" s="11"/>
      <c r="C8" s="11"/>
      <c r="D8" s="11"/>
      <c r="E8" s="11"/>
      <c r="F8" s="11"/>
    </row>
    <row r="9" spans="1:7" ht="15.75" thickTop="1" x14ac:dyDescent="0.25">
      <c r="A9" s="12" t="s">
        <v>276</v>
      </c>
      <c r="B9" s="12" t="s">
        <v>278</v>
      </c>
      <c r="C9" s="12" t="s">
        <v>281</v>
      </c>
      <c r="D9" s="12" t="s">
        <v>282</v>
      </c>
      <c r="E9" s="12" t="s">
        <v>283</v>
      </c>
      <c r="F9" s="12" t="s">
        <v>280</v>
      </c>
      <c r="G9" s="12"/>
    </row>
    <row r="10" spans="1:7" x14ac:dyDescent="0.25">
      <c r="A10" t="s">
        <v>6</v>
      </c>
      <c r="B10" t="s">
        <v>279</v>
      </c>
      <c r="C10" s="9">
        <f>SUMIF(e2s!$AG:$AG,$A10,e2s!CV:CV)</f>
        <v>19.020104112698487</v>
      </c>
      <c r="D10" s="9">
        <f>SUMIF(e2s!$AG:$AG,$A10,e2s!CW:CW)</f>
        <v>48.284949420525649</v>
      </c>
      <c r="E10" s="9">
        <f>SUMIF(e2s!$AG:$AG,$A10,e2s!CX:CX)</f>
        <v>-29.264845307827283</v>
      </c>
      <c r="F10" s="9"/>
      <c r="G10" s="9"/>
    </row>
    <row r="11" spans="1:7" x14ac:dyDescent="0.25">
      <c r="A11" t="s">
        <v>30</v>
      </c>
      <c r="B11" t="s">
        <v>279</v>
      </c>
      <c r="C11" s="9">
        <f>SUMIF(e2s!$AG:$AG,$A11,e2s!CV:CV)</f>
        <v>70.950478531186846</v>
      </c>
      <c r="D11" s="9">
        <f>SUMIF(e2s!$AG:$AG,$A11,e2s!CW:CW)</f>
        <v>173.04719769616858</v>
      </c>
      <c r="E11" s="9">
        <f>SUMIF(e2s!$AG:$AG,$A11,e2s!CX:CX)</f>
        <v>-102.09671916498208</v>
      </c>
      <c r="F11" s="9"/>
      <c r="G11" s="9"/>
    </row>
    <row r="12" spans="1:7" x14ac:dyDescent="0.25">
      <c r="A12" t="s">
        <v>68</v>
      </c>
      <c r="B12" t="s">
        <v>279</v>
      </c>
      <c r="C12" s="9">
        <f>SUMIF(e2s!$AG:$AG,$A12,e2s!CV:CV)</f>
        <v>103.69985677440066</v>
      </c>
      <c r="D12" s="9">
        <f>SUMIF(e2s!$AG:$AG,$A12,e2s!CW:CW)</f>
        <v>103.85184331366774</v>
      </c>
      <c r="E12" s="9">
        <f>SUMIF(e2s!$AG:$AG,$A12,e2s!CX:CX)</f>
        <v>-0.15198653926707784</v>
      </c>
      <c r="F12" s="9"/>
      <c r="G12" s="9"/>
    </row>
    <row r="13" spans="1:7" x14ac:dyDescent="0.25">
      <c r="A13" t="s">
        <v>81</v>
      </c>
      <c r="B13" t="s">
        <v>279</v>
      </c>
      <c r="C13" s="9">
        <f>SUMIF(e2s!$AG:$AG,$A13,e2s!CV:CV)</f>
        <v>13.111300630818199</v>
      </c>
      <c r="D13" s="9">
        <f>SUMIF(e2s!$AG:$AG,$A13,e2s!CW:CW)</f>
        <v>14.6371596590552</v>
      </c>
      <c r="E13" s="9">
        <f>SUMIF(e2s!$AG:$AG,$A13,e2s!CX:CX)</f>
        <v>-1.5258590282369999</v>
      </c>
      <c r="F13" s="9"/>
      <c r="G13" s="9"/>
    </row>
    <row r="14" spans="1:7" x14ac:dyDescent="0.25">
      <c r="A14" t="s">
        <v>89</v>
      </c>
      <c r="B14" t="s">
        <v>279</v>
      </c>
      <c r="C14" s="9">
        <f>SUMIF(e2s!$AG:$AG,$A14,e2s!CV:CV)</f>
        <v>2.6133646238907069</v>
      </c>
      <c r="D14" s="9">
        <f>SUMIF(e2s!$AG:$AG,$A14,e2s!CW:CW)</f>
        <v>2.6133646238907069</v>
      </c>
      <c r="E14" s="9">
        <f>SUMIF(e2s!$AG:$AG,$A14,e2s!CX:CX)</f>
        <v>0</v>
      </c>
      <c r="F14" s="9"/>
      <c r="G14" s="9"/>
    </row>
    <row r="15" spans="1:7" x14ac:dyDescent="0.25">
      <c r="B15" s="14" t="s">
        <v>312</v>
      </c>
      <c r="C15" s="13">
        <f>SUM(C10:C14)</f>
        <v>209.39510467299488</v>
      </c>
      <c r="D15" s="13">
        <f t="shared" ref="D15:E15" si="0">SUM(D10:D14)</f>
        <v>342.43451471330792</v>
      </c>
      <c r="E15" s="13">
        <f t="shared" si="0"/>
        <v>-133.03941004031344</v>
      </c>
    </row>
    <row r="16" spans="1:7" x14ac:dyDescent="0.25">
      <c r="C16" s="9"/>
      <c r="D16" s="9"/>
      <c r="E16" s="9"/>
    </row>
    <row r="17" spans="1:6" x14ac:dyDescent="0.25">
      <c r="A17" t="s">
        <v>275</v>
      </c>
      <c r="B17" t="s">
        <v>279</v>
      </c>
      <c r="C17" s="9">
        <f>SUMIF(e2s!$AS:$AS,$A$17,e2s!CV:CV)</f>
        <v>0.33579594299408</v>
      </c>
      <c r="D17" s="9">
        <f>SUMIF(e2s!$AS:$AS,$A$17,e2s!CW:CW)</f>
        <v>0.3453107620107041</v>
      </c>
      <c r="E17" s="9">
        <f>SUMIF(e2s!$AS:$AS,$A$17,e2s!CX:CX)</f>
        <v>-9.5148190166217863E-3</v>
      </c>
    </row>
    <row r="18" spans="1:6" x14ac:dyDescent="0.25">
      <c r="C18" s="9"/>
      <c r="D18" s="9"/>
      <c r="E18" s="9"/>
    </row>
    <row r="20" spans="1:6" ht="21.75" thickBot="1" x14ac:dyDescent="0.4">
      <c r="A20" s="11" t="s">
        <v>310</v>
      </c>
      <c r="B20" s="11"/>
      <c r="C20" s="11"/>
      <c r="D20" s="11"/>
      <c r="E20" s="11"/>
      <c r="F20" s="11"/>
    </row>
    <row r="21" spans="1:6" ht="15.75" thickTop="1" x14ac:dyDescent="0.25"/>
    <row r="22" spans="1:6" x14ac:dyDescent="0.25">
      <c r="A22" s="4" t="s">
        <v>94</v>
      </c>
      <c r="B22" t="s">
        <v>309</v>
      </c>
      <c r="C22" t="s">
        <v>306</v>
      </c>
      <c r="D22" t="s">
        <v>307</v>
      </c>
      <c r="E22" t="s">
        <v>308</v>
      </c>
      <c r="F22" t="s">
        <v>311</v>
      </c>
    </row>
    <row r="23" spans="1:6" x14ac:dyDescent="0.25">
      <c r="A23" s="5" t="s">
        <v>265</v>
      </c>
      <c r="B23" s="10">
        <v>100</v>
      </c>
      <c r="C23" s="9">
        <v>203.82977601563229</v>
      </c>
      <c r="D23" s="9">
        <v>336.85967123692876</v>
      </c>
      <c r="E23" s="9">
        <v>-133.02989522129678</v>
      </c>
      <c r="F23" s="10">
        <v>2</v>
      </c>
    </row>
    <row r="24" spans="1:6" x14ac:dyDescent="0.25">
      <c r="A24" s="6" t="s">
        <v>6</v>
      </c>
      <c r="B24" s="10">
        <v>100</v>
      </c>
      <c r="C24" s="9">
        <v>18.684308169704408</v>
      </c>
      <c r="D24" s="9">
        <v>47.939638658514944</v>
      </c>
      <c r="E24" s="9">
        <v>-29.25533048881066</v>
      </c>
      <c r="F24" s="10">
        <v>2</v>
      </c>
    </row>
    <row r="25" spans="1:6" x14ac:dyDescent="0.25">
      <c r="A25" s="7" t="s">
        <v>3</v>
      </c>
      <c r="B25" s="10">
        <v>50</v>
      </c>
      <c r="C25" s="9">
        <v>-4.9901426816636985</v>
      </c>
      <c r="D25" s="9">
        <v>20.272035855664971</v>
      </c>
      <c r="E25" s="9">
        <v>-25.262178537328683</v>
      </c>
      <c r="F25" s="10">
        <v>2</v>
      </c>
    </row>
    <row r="26" spans="1:6" x14ac:dyDescent="0.25">
      <c r="A26" s="8" t="s">
        <v>4</v>
      </c>
      <c r="B26" s="10">
        <v>50</v>
      </c>
      <c r="C26" s="9">
        <v>-4.0794222865548004</v>
      </c>
      <c r="D26" s="9">
        <v>4.117678911754</v>
      </c>
      <c r="E26" s="9">
        <v>-8.1971011983088005</v>
      </c>
      <c r="F26" s="10">
        <v>1</v>
      </c>
    </row>
    <row r="27" spans="1:6" x14ac:dyDescent="0.25">
      <c r="A27" s="8" t="s">
        <v>9</v>
      </c>
      <c r="B27" s="10">
        <v>50</v>
      </c>
      <c r="C27" s="9">
        <v>2.9440526307263002</v>
      </c>
      <c r="D27" s="9">
        <v>3.7984955175101001</v>
      </c>
      <c r="E27" s="9">
        <v>-0.85444288678379998</v>
      </c>
      <c r="F27" s="10">
        <v>1</v>
      </c>
    </row>
    <row r="28" spans="1:6" x14ac:dyDescent="0.25">
      <c r="A28" s="8" t="s">
        <v>8</v>
      </c>
      <c r="B28" s="10">
        <v>50</v>
      </c>
      <c r="C28" s="9">
        <v>-5.4095624553089996</v>
      </c>
      <c r="D28" s="9">
        <v>1.6296116471502999</v>
      </c>
      <c r="E28" s="9">
        <v>-7.0391741024592998</v>
      </c>
      <c r="F28" s="10">
        <v>2</v>
      </c>
    </row>
    <row r="29" spans="1:6" x14ac:dyDescent="0.25">
      <c r="A29" s="8" t="s">
        <v>11</v>
      </c>
      <c r="B29" s="10">
        <v>50</v>
      </c>
      <c r="C29" s="9">
        <v>-2.6251007976062999</v>
      </c>
      <c r="D29" s="9">
        <v>4.1170460078035997</v>
      </c>
      <c r="E29" s="9">
        <v>-6.7421468054098996</v>
      </c>
      <c r="F29" s="10">
        <v>1</v>
      </c>
    </row>
    <row r="30" spans="1:6" x14ac:dyDescent="0.25">
      <c r="A30" s="8" t="s">
        <v>12</v>
      </c>
      <c r="B30" s="10">
        <v>50</v>
      </c>
      <c r="C30" s="9">
        <v>-0.94503628713828003</v>
      </c>
      <c r="D30" s="9">
        <v>1.4821365628093</v>
      </c>
      <c r="E30" s="9">
        <v>-2.4271728499476</v>
      </c>
      <c r="F30" s="10">
        <v>1</v>
      </c>
    </row>
    <row r="31" spans="1:6" x14ac:dyDescent="0.25">
      <c r="A31" s="8" t="s">
        <v>7</v>
      </c>
      <c r="B31" s="10">
        <v>50</v>
      </c>
      <c r="C31" s="9">
        <v>4.5431484832090003</v>
      </c>
      <c r="D31" s="9">
        <v>4.5431484832090003</v>
      </c>
      <c r="E31" s="9">
        <v>0</v>
      </c>
      <c r="F31" s="10">
        <v>1</v>
      </c>
    </row>
    <row r="32" spans="1:6" x14ac:dyDescent="0.25">
      <c r="A32" s="8" t="s">
        <v>10</v>
      </c>
      <c r="B32" s="10">
        <v>25</v>
      </c>
      <c r="C32" s="9">
        <v>0.58177803100937997</v>
      </c>
      <c r="D32" s="9">
        <v>0.58391872542866996</v>
      </c>
      <c r="E32" s="9">
        <v>-2.1406944192864999E-3</v>
      </c>
      <c r="F32" s="10">
        <v>1</v>
      </c>
    </row>
    <row r="33" spans="1:6" x14ac:dyDescent="0.25">
      <c r="A33" s="7" t="s">
        <v>13</v>
      </c>
      <c r="B33" s="10">
        <v>100</v>
      </c>
      <c r="C33" s="9">
        <v>0.76545576871501153</v>
      </c>
      <c r="D33" s="9">
        <v>0.97667202485915339</v>
      </c>
      <c r="E33" s="9">
        <v>-0.21121625614414336</v>
      </c>
      <c r="F33" s="10">
        <v>1</v>
      </c>
    </row>
    <row r="34" spans="1:6" x14ac:dyDescent="0.25">
      <c r="A34" s="8" t="s">
        <v>17</v>
      </c>
      <c r="B34" s="10">
        <v>50</v>
      </c>
      <c r="C34" s="9">
        <v>0.26964083312703002</v>
      </c>
      <c r="D34" s="9">
        <v>0.26964083312703002</v>
      </c>
      <c r="E34" s="9">
        <v>0</v>
      </c>
      <c r="F34" s="10">
        <v>1</v>
      </c>
    </row>
    <row r="35" spans="1:6" x14ac:dyDescent="0.25">
      <c r="A35" s="8" t="s">
        <v>11</v>
      </c>
      <c r="B35" s="10">
        <v>50</v>
      </c>
      <c r="C35" s="9">
        <v>-6.0432525364300001E-2</v>
      </c>
      <c r="D35" s="9">
        <v>9.4778641459957999E-2</v>
      </c>
      <c r="E35" s="9">
        <v>-0.15521116682426001</v>
      </c>
      <c r="F35" s="10">
        <v>1</v>
      </c>
    </row>
    <row r="36" spans="1:6" x14ac:dyDescent="0.25">
      <c r="A36" s="8" t="s">
        <v>12</v>
      </c>
      <c r="B36" s="10">
        <v>50</v>
      </c>
      <c r="C36" s="9">
        <v>-2.1755709131148E-2</v>
      </c>
      <c r="D36" s="9">
        <v>3.4120310925584998E-2</v>
      </c>
      <c r="E36" s="9">
        <v>-5.5876020056732999E-2</v>
      </c>
      <c r="F36" s="10">
        <v>1</v>
      </c>
    </row>
    <row r="37" spans="1:6" x14ac:dyDescent="0.25">
      <c r="A37" s="8" t="s">
        <v>14</v>
      </c>
      <c r="B37" s="10">
        <v>35</v>
      </c>
      <c r="C37" s="9">
        <v>7.1709697359378004E-3</v>
      </c>
      <c r="D37" s="9">
        <v>7.2116461097792E-3</v>
      </c>
      <c r="E37" s="9">
        <v>-4.0676373841322002E-5</v>
      </c>
      <c r="F37" s="10">
        <v>1</v>
      </c>
    </row>
    <row r="38" spans="1:6" x14ac:dyDescent="0.25">
      <c r="A38" s="8" t="s">
        <v>15</v>
      </c>
      <c r="B38" s="10">
        <v>50</v>
      </c>
      <c r="C38" s="9">
        <v>1.2348028245027E-3</v>
      </c>
      <c r="D38" s="9">
        <v>1.2739147224271E-3</v>
      </c>
      <c r="E38" s="9">
        <v>-3.9111897924348E-5</v>
      </c>
      <c r="F38" s="10">
        <v>1</v>
      </c>
    </row>
    <row r="39" spans="1:6" x14ac:dyDescent="0.25">
      <c r="A39" s="8" t="s">
        <v>16</v>
      </c>
      <c r="B39" s="10">
        <v>100</v>
      </c>
      <c r="C39" s="9">
        <v>0.55620426776301002</v>
      </c>
      <c r="D39" s="9">
        <v>0.55620426776301002</v>
      </c>
      <c r="E39" s="9">
        <v>0</v>
      </c>
      <c r="F39" s="10">
        <v>1</v>
      </c>
    </row>
    <row r="40" spans="1:6" x14ac:dyDescent="0.25">
      <c r="A40" s="8" t="s">
        <v>10</v>
      </c>
      <c r="B40" s="10">
        <v>25</v>
      </c>
      <c r="C40" s="9">
        <v>1.3393129759979E-2</v>
      </c>
      <c r="D40" s="9">
        <v>1.3442410751364001E-2</v>
      </c>
      <c r="E40" s="9">
        <v>-4.9280991384678E-5</v>
      </c>
      <c r="F40" s="10">
        <v>1</v>
      </c>
    </row>
    <row r="41" spans="1:6" x14ac:dyDescent="0.25">
      <c r="A41" s="7" t="s">
        <v>18</v>
      </c>
      <c r="B41" s="10">
        <v>50</v>
      </c>
      <c r="C41" s="9">
        <v>3.628451377254724</v>
      </c>
      <c r="D41" s="9">
        <v>7.2503175113486256</v>
      </c>
      <c r="E41" s="9">
        <v>-3.6218661340940286</v>
      </c>
      <c r="F41" s="10">
        <v>2</v>
      </c>
    </row>
    <row r="42" spans="1:6" x14ac:dyDescent="0.25">
      <c r="A42" s="8" t="s">
        <v>21</v>
      </c>
      <c r="B42" s="10">
        <v>50</v>
      </c>
      <c r="C42" s="9">
        <v>0.11665019000601</v>
      </c>
      <c r="D42" s="9">
        <v>0.11665019000601</v>
      </c>
      <c r="E42" s="9">
        <v>0</v>
      </c>
      <c r="F42" s="10">
        <v>1</v>
      </c>
    </row>
    <row r="43" spans="1:6" x14ac:dyDescent="0.25">
      <c r="A43" s="8" t="s">
        <v>19</v>
      </c>
      <c r="B43" s="10">
        <v>50</v>
      </c>
      <c r="C43" s="9">
        <v>0.43469094338275999</v>
      </c>
      <c r="D43" s="9">
        <v>1.9371178233908799</v>
      </c>
      <c r="E43" s="9">
        <v>-1.5024268800081599</v>
      </c>
      <c r="F43" s="10">
        <v>1</v>
      </c>
    </row>
    <row r="44" spans="1:6" x14ac:dyDescent="0.25">
      <c r="A44" s="8" t="s">
        <v>8</v>
      </c>
      <c r="B44" s="10">
        <v>50</v>
      </c>
      <c r="C44" s="9">
        <v>-1.6252791682944601</v>
      </c>
      <c r="D44" s="9">
        <v>0.48960962821014004</v>
      </c>
      <c r="E44" s="9">
        <v>-2.1148887965046299</v>
      </c>
      <c r="F44" s="10">
        <v>2</v>
      </c>
    </row>
    <row r="45" spans="1:6" x14ac:dyDescent="0.25">
      <c r="A45" s="8" t="s">
        <v>20</v>
      </c>
      <c r="B45" s="10">
        <v>50</v>
      </c>
      <c r="C45" s="9">
        <v>3.1370131626250002</v>
      </c>
      <c r="D45" s="9">
        <v>3.1401003411455002</v>
      </c>
      <c r="E45" s="9">
        <v>-3.0871785205647002E-3</v>
      </c>
      <c r="F45" s="10">
        <v>1</v>
      </c>
    </row>
    <row r="46" spans="1:6" x14ac:dyDescent="0.25">
      <c r="A46" s="8" t="s">
        <v>7</v>
      </c>
      <c r="B46" s="10">
        <v>50</v>
      </c>
      <c r="C46" s="9">
        <v>1.3649689137023699</v>
      </c>
      <c r="D46" s="9">
        <v>1.3649689137023699</v>
      </c>
      <c r="E46" s="9">
        <v>0</v>
      </c>
      <c r="F46" s="10">
        <v>1</v>
      </c>
    </row>
    <row r="47" spans="1:6" x14ac:dyDescent="0.25">
      <c r="A47" s="8" t="s">
        <v>14</v>
      </c>
      <c r="B47" s="10">
        <v>35</v>
      </c>
      <c r="C47" s="9">
        <v>6.2391826719874997E-2</v>
      </c>
      <c r="D47" s="9">
        <v>6.2745736074083999E-2</v>
      </c>
      <c r="E47" s="9">
        <v>-3.5390935420935999E-4</v>
      </c>
      <c r="F47" s="10">
        <v>1</v>
      </c>
    </row>
    <row r="48" spans="1:6" x14ac:dyDescent="0.25">
      <c r="A48" s="8" t="s">
        <v>15</v>
      </c>
      <c r="B48" s="10">
        <v>50</v>
      </c>
      <c r="C48" s="9">
        <v>2.1487081021549E-2</v>
      </c>
      <c r="D48" s="9">
        <v>2.2167675933489998E-2</v>
      </c>
      <c r="E48" s="9">
        <v>-6.8059491194107005E-4</v>
      </c>
      <c r="F48" s="10">
        <v>1</v>
      </c>
    </row>
    <row r="49" spans="1:6" x14ac:dyDescent="0.25">
      <c r="A49" s="8" t="s">
        <v>10</v>
      </c>
      <c r="B49" s="10">
        <v>25</v>
      </c>
      <c r="C49" s="9">
        <v>0.11652842809162001</v>
      </c>
      <c r="D49" s="9">
        <v>0.11695720288615</v>
      </c>
      <c r="E49" s="9">
        <v>-4.2877479452287001E-4</v>
      </c>
      <c r="F49" s="10">
        <v>1</v>
      </c>
    </row>
    <row r="50" spans="1:6" x14ac:dyDescent="0.25">
      <c r="A50" s="7" t="s">
        <v>22</v>
      </c>
      <c r="B50" s="10">
        <v>50</v>
      </c>
      <c r="C50" s="9">
        <v>-7.4568663667467072E-3</v>
      </c>
      <c r="D50" s="9">
        <v>0.15261269487706114</v>
      </c>
      <c r="E50" s="9">
        <v>-0.16006956124380725</v>
      </c>
      <c r="F50" s="10">
        <v>2</v>
      </c>
    </row>
    <row r="51" spans="1:6" x14ac:dyDescent="0.25">
      <c r="A51" s="8" t="s">
        <v>21</v>
      </c>
      <c r="B51" s="10">
        <v>50</v>
      </c>
      <c r="C51" s="9">
        <v>7.7648910726711004E-3</v>
      </c>
      <c r="D51" s="9">
        <v>7.7648910726711004E-3</v>
      </c>
      <c r="E51" s="9">
        <v>0</v>
      </c>
      <c r="F51" s="10">
        <v>1</v>
      </c>
    </row>
    <row r="52" spans="1:6" x14ac:dyDescent="0.25">
      <c r="A52" s="8" t="s">
        <v>23</v>
      </c>
      <c r="B52" s="10">
        <v>50</v>
      </c>
      <c r="C52" s="9">
        <v>1.10038981671144E-2</v>
      </c>
      <c r="D52" s="9">
        <v>4.9036787149087997E-2</v>
      </c>
      <c r="E52" s="9">
        <v>-3.8032888981974003E-2</v>
      </c>
      <c r="F52" s="10">
        <v>1</v>
      </c>
    </row>
    <row r="53" spans="1:6" x14ac:dyDescent="0.25">
      <c r="A53" s="8" t="s">
        <v>25</v>
      </c>
      <c r="B53" s="10">
        <v>50</v>
      </c>
      <c r="C53" s="9">
        <v>-4.2429305201005002E-5</v>
      </c>
      <c r="D53" s="9">
        <v>3.10612306939E-3</v>
      </c>
      <c r="E53" s="9">
        <v>-3.1485523745909999E-3</v>
      </c>
      <c r="F53" s="10">
        <v>1</v>
      </c>
    </row>
    <row r="54" spans="1:6" x14ac:dyDescent="0.25">
      <c r="A54" s="8" t="s">
        <v>24</v>
      </c>
      <c r="B54" s="10">
        <v>25</v>
      </c>
      <c r="C54" s="9">
        <v>2.3270357749636999E-3</v>
      </c>
      <c r="D54" s="9">
        <v>2.3355982717089001E-3</v>
      </c>
      <c r="E54" s="9">
        <v>-8.5624967451970005E-6</v>
      </c>
      <c r="F54" s="10">
        <v>1</v>
      </c>
    </row>
    <row r="55" spans="1:6" x14ac:dyDescent="0.25">
      <c r="A55" s="8" t="s">
        <v>8</v>
      </c>
      <c r="B55" s="10">
        <v>50</v>
      </c>
      <c r="C55" s="9">
        <v>-3.6062566504285E-2</v>
      </c>
      <c r="D55" s="9">
        <v>1.0863721213504001E-2</v>
      </c>
      <c r="E55" s="9">
        <v>-4.6926287717788999E-2</v>
      </c>
      <c r="F55" s="10">
        <v>2</v>
      </c>
    </row>
    <row r="56" spans="1:6" x14ac:dyDescent="0.25">
      <c r="A56" s="8" t="s">
        <v>11</v>
      </c>
      <c r="B56" s="10">
        <v>50</v>
      </c>
      <c r="C56" s="9">
        <v>-2.8000156501004E-2</v>
      </c>
      <c r="D56" s="9">
        <v>4.3913716625834001E-2</v>
      </c>
      <c r="E56" s="9">
        <v>-7.1913873126837002E-2</v>
      </c>
      <c r="F56" s="10">
        <v>1</v>
      </c>
    </row>
    <row r="57" spans="1:6" x14ac:dyDescent="0.25">
      <c r="A57" s="8" t="s">
        <v>7</v>
      </c>
      <c r="B57" s="10">
        <v>50</v>
      </c>
      <c r="C57" s="9">
        <v>3.0286662861941999E-2</v>
      </c>
      <c r="D57" s="9">
        <v>3.0286662861941999E-2</v>
      </c>
      <c r="E57" s="9">
        <v>0</v>
      </c>
      <c r="F57" s="10">
        <v>1</v>
      </c>
    </row>
    <row r="58" spans="1:6" x14ac:dyDescent="0.25">
      <c r="A58" s="8" t="s">
        <v>15</v>
      </c>
      <c r="B58" s="10">
        <v>50</v>
      </c>
      <c r="C58" s="9">
        <v>7.1515032934529996E-4</v>
      </c>
      <c r="D58" s="9">
        <v>7.3780243713682996E-4</v>
      </c>
      <c r="E58" s="9">
        <v>-2.2652107791526999E-5</v>
      </c>
      <c r="F58" s="10">
        <v>1</v>
      </c>
    </row>
    <row r="59" spans="1:6" x14ac:dyDescent="0.25">
      <c r="A59" s="8" t="s">
        <v>26</v>
      </c>
      <c r="B59" s="10">
        <v>25</v>
      </c>
      <c r="C59" s="9">
        <v>4.5506477377067998E-3</v>
      </c>
      <c r="D59" s="9">
        <v>4.5673921757863004E-3</v>
      </c>
      <c r="E59" s="9">
        <v>-1.6744438079496E-5</v>
      </c>
      <c r="F59" s="10">
        <v>1</v>
      </c>
    </row>
    <row r="60" spans="1:6" x14ac:dyDescent="0.25">
      <c r="A60" s="7" t="s">
        <v>69</v>
      </c>
      <c r="B60" s="10">
        <v>100</v>
      </c>
      <c r="C60" s="9">
        <v>5.9981802587238002</v>
      </c>
      <c r="D60" s="9">
        <v>5.9981802587238002</v>
      </c>
      <c r="E60" s="9">
        <v>0</v>
      </c>
      <c r="F60" s="10">
        <v>1</v>
      </c>
    </row>
    <row r="61" spans="1:6" x14ac:dyDescent="0.25">
      <c r="A61" s="8" t="s">
        <v>16</v>
      </c>
      <c r="B61" s="10">
        <v>100</v>
      </c>
      <c r="C61" s="9">
        <v>5.9981802587238002</v>
      </c>
      <c r="D61" s="9">
        <v>5.9981802587238002</v>
      </c>
      <c r="E61" s="9">
        <v>0</v>
      </c>
      <c r="F61" s="10">
        <v>1</v>
      </c>
    </row>
    <row r="62" spans="1:6" x14ac:dyDescent="0.25">
      <c r="A62" s="7" t="s">
        <v>71</v>
      </c>
      <c r="B62" s="10">
        <v>35</v>
      </c>
      <c r="C62" s="9">
        <v>2.7276006580127001</v>
      </c>
      <c r="D62" s="9">
        <v>2.7276006580127001</v>
      </c>
      <c r="E62" s="9">
        <v>0</v>
      </c>
      <c r="F62" s="10">
        <v>1</v>
      </c>
    </row>
    <row r="63" spans="1:6" x14ac:dyDescent="0.25">
      <c r="A63" s="8" t="s">
        <v>72</v>
      </c>
      <c r="B63" s="10">
        <v>35</v>
      </c>
      <c r="C63" s="9">
        <v>2.7276006580127001</v>
      </c>
      <c r="D63" s="9">
        <v>2.7276006580127001</v>
      </c>
      <c r="E63" s="9">
        <v>0</v>
      </c>
      <c r="F63" s="10">
        <v>1</v>
      </c>
    </row>
    <row r="64" spans="1:6" x14ac:dyDescent="0.25">
      <c r="A64" s="7" t="s">
        <v>73</v>
      </c>
      <c r="B64" s="10">
        <v>100</v>
      </c>
      <c r="C64" s="9">
        <v>9.0224258504941997</v>
      </c>
      <c r="D64" s="9">
        <v>9.0224258504941997</v>
      </c>
      <c r="E64" s="9">
        <v>0</v>
      </c>
      <c r="F64" s="10">
        <v>1</v>
      </c>
    </row>
    <row r="65" spans="1:6" x14ac:dyDescent="0.25">
      <c r="A65" s="8" t="s">
        <v>16</v>
      </c>
      <c r="B65" s="10">
        <v>100</v>
      </c>
      <c r="C65" s="9">
        <v>9.0224258504941997</v>
      </c>
      <c r="D65" s="9">
        <v>9.0224258504941997</v>
      </c>
      <c r="E65" s="9">
        <v>0</v>
      </c>
      <c r="F65" s="10">
        <v>1</v>
      </c>
    </row>
    <row r="66" spans="1:6" x14ac:dyDescent="0.25">
      <c r="A66" s="7" t="s">
        <v>76</v>
      </c>
      <c r="B66" s="10">
        <v>100</v>
      </c>
      <c r="C66" s="9">
        <v>1.1753191047499001</v>
      </c>
      <c r="D66" s="9">
        <v>1.1753191047499001</v>
      </c>
      <c r="E66" s="9">
        <v>0</v>
      </c>
      <c r="F66" s="10">
        <v>1</v>
      </c>
    </row>
    <row r="67" spans="1:6" x14ac:dyDescent="0.25">
      <c r="A67" s="8" t="s">
        <v>16</v>
      </c>
      <c r="B67" s="10">
        <v>100</v>
      </c>
      <c r="C67" s="9">
        <v>1.1753191047499001</v>
      </c>
      <c r="D67" s="9">
        <v>1.1753191047499001</v>
      </c>
      <c r="E67" s="9">
        <v>0</v>
      </c>
      <c r="F67" s="10">
        <v>1</v>
      </c>
    </row>
    <row r="68" spans="1:6" x14ac:dyDescent="0.25">
      <c r="A68" s="7" t="s">
        <v>77</v>
      </c>
      <c r="B68" s="10">
        <v>100</v>
      </c>
      <c r="C68" s="9">
        <v>0.36447469978452002</v>
      </c>
      <c r="D68" s="9">
        <v>0.36447469978452002</v>
      </c>
      <c r="E68" s="9">
        <v>0</v>
      </c>
      <c r="F68" s="10">
        <v>1</v>
      </c>
    </row>
    <row r="69" spans="1:6" x14ac:dyDescent="0.25">
      <c r="A69" s="8" t="s">
        <v>16</v>
      </c>
      <c r="B69" s="10">
        <v>100</v>
      </c>
      <c r="C69" s="9">
        <v>0.36447469978452002</v>
      </c>
      <c r="D69" s="9">
        <v>0.36447469978452002</v>
      </c>
      <c r="E69" s="9">
        <v>0</v>
      </c>
      <c r="F69" s="10">
        <v>1</v>
      </c>
    </row>
    <row r="70" spans="1:6" x14ac:dyDescent="0.25">
      <c r="A70" s="6" t="s">
        <v>30</v>
      </c>
      <c r="B70" s="10">
        <v>100</v>
      </c>
      <c r="C70" s="9">
        <v>70.950478531186846</v>
      </c>
      <c r="D70" s="9">
        <v>173.04719769616861</v>
      </c>
      <c r="E70" s="9">
        <v>-102.09671916498208</v>
      </c>
      <c r="F70" s="10">
        <v>2</v>
      </c>
    </row>
    <row r="71" spans="1:6" x14ac:dyDescent="0.25">
      <c r="A71" s="7" t="s">
        <v>27</v>
      </c>
      <c r="B71" s="10">
        <v>50</v>
      </c>
      <c r="C71" s="9">
        <v>4.8325431237491596</v>
      </c>
      <c r="D71" s="9">
        <v>19.606187537626763</v>
      </c>
      <c r="E71" s="9">
        <v>-14.773644413877907</v>
      </c>
      <c r="F71" s="10">
        <v>1</v>
      </c>
    </row>
    <row r="72" spans="1:6" x14ac:dyDescent="0.25">
      <c r="A72" s="8" t="s">
        <v>36</v>
      </c>
      <c r="B72" s="10">
        <v>50</v>
      </c>
      <c r="C72" s="9">
        <v>1.4688423079415001</v>
      </c>
      <c r="D72" s="9">
        <v>1.4908428890889001</v>
      </c>
      <c r="E72" s="9">
        <v>-2.2000581147426999E-2</v>
      </c>
      <c r="F72" s="10">
        <v>1</v>
      </c>
    </row>
    <row r="73" spans="1:6" x14ac:dyDescent="0.25">
      <c r="A73" s="8" t="s">
        <v>35</v>
      </c>
      <c r="B73" s="10">
        <v>50</v>
      </c>
      <c r="C73" s="9">
        <v>0.47662240269240003</v>
      </c>
      <c r="D73" s="9">
        <v>0.47662240269240003</v>
      </c>
      <c r="E73" s="9">
        <v>0</v>
      </c>
      <c r="F73" s="10">
        <v>1</v>
      </c>
    </row>
    <row r="74" spans="1:6" x14ac:dyDescent="0.25">
      <c r="A74" s="8" t="s">
        <v>34</v>
      </c>
      <c r="B74" s="10">
        <v>50</v>
      </c>
      <c r="C74" s="9">
        <v>4.1914734825008004</v>
      </c>
      <c r="D74" s="9">
        <v>4.1914734825008004</v>
      </c>
      <c r="E74" s="9">
        <v>0</v>
      </c>
      <c r="F74" s="10">
        <v>1</v>
      </c>
    </row>
    <row r="75" spans="1:6" x14ac:dyDescent="0.25">
      <c r="A75" s="8" t="s">
        <v>28</v>
      </c>
      <c r="B75" s="10">
        <v>50</v>
      </c>
      <c r="C75" s="9">
        <v>1.4818292386591001</v>
      </c>
      <c r="D75" s="9">
        <v>1.4818292386591001</v>
      </c>
      <c r="E75" s="9">
        <v>0</v>
      </c>
      <c r="F75" s="10">
        <v>1</v>
      </c>
    </row>
    <row r="76" spans="1:6" x14ac:dyDescent="0.25">
      <c r="A76" s="8" t="s">
        <v>4</v>
      </c>
      <c r="B76" s="10">
        <v>50</v>
      </c>
      <c r="C76" s="9">
        <v>-7.3369606340073004</v>
      </c>
      <c r="D76" s="9">
        <v>7.4057662965153996</v>
      </c>
      <c r="E76" s="9">
        <v>-14.742726930523</v>
      </c>
      <c r="F76" s="10">
        <v>1</v>
      </c>
    </row>
    <row r="77" spans="1:6" x14ac:dyDescent="0.25">
      <c r="A77" s="8" t="s">
        <v>33</v>
      </c>
      <c r="B77" s="10">
        <v>25</v>
      </c>
      <c r="C77" s="9">
        <v>3.0177096764190998</v>
      </c>
      <c r="D77" s="9">
        <v>3.0213764399437002</v>
      </c>
      <c r="E77" s="9">
        <v>-3.6667635245711001E-3</v>
      </c>
      <c r="F77" s="10">
        <v>1</v>
      </c>
    </row>
    <row r="78" spans="1:6" x14ac:dyDescent="0.25">
      <c r="A78" s="8" t="s">
        <v>31</v>
      </c>
      <c r="B78" s="10">
        <v>50</v>
      </c>
      <c r="C78" s="9">
        <v>0.10619275959176</v>
      </c>
      <c r="D78" s="9">
        <v>0.10619275959176</v>
      </c>
      <c r="E78" s="9">
        <v>0</v>
      </c>
      <c r="F78" s="10">
        <v>1</v>
      </c>
    </row>
    <row r="79" spans="1:6" x14ac:dyDescent="0.25">
      <c r="A79" s="8" t="s">
        <v>32</v>
      </c>
      <c r="B79" s="10">
        <v>25</v>
      </c>
      <c r="C79" s="9">
        <v>1.4268338899518</v>
      </c>
      <c r="D79" s="9">
        <v>1.4320840286347001</v>
      </c>
      <c r="E79" s="9">
        <v>-5.2501386829086E-3</v>
      </c>
      <c r="F79" s="10">
        <v>1</v>
      </c>
    </row>
    <row r="80" spans="1:6" x14ac:dyDescent="0.25">
      <c r="A80" s="7" t="s">
        <v>37</v>
      </c>
      <c r="B80" s="10">
        <v>100</v>
      </c>
      <c r="C80" s="9">
        <v>2.9168487460534993</v>
      </c>
      <c r="D80" s="9">
        <v>2.9207074611893824</v>
      </c>
      <c r="E80" s="9">
        <v>-3.8587151358714807E-3</v>
      </c>
      <c r="F80" s="10">
        <v>1</v>
      </c>
    </row>
    <row r="81" spans="1:6" x14ac:dyDescent="0.25">
      <c r="A81" s="8" t="s">
        <v>36</v>
      </c>
      <c r="B81" s="10">
        <v>35</v>
      </c>
      <c r="C81" s="9">
        <v>0.35013634312038</v>
      </c>
      <c r="D81" s="9">
        <v>0.35273905338065997</v>
      </c>
      <c r="E81" s="9">
        <v>-2.6027102602709999E-3</v>
      </c>
      <c r="F81" s="10">
        <v>1</v>
      </c>
    </row>
    <row r="82" spans="1:6" x14ac:dyDescent="0.25">
      <c r="A82" s="8" t="s">
        <v>38</v>
      </c>
      <c r="B82" s="10">
        <v>50</v>
      </c>
      <c r="C82" s="9">
        <v>0.42910894161378998</v>
      </c>
      <c r="D82" s="9">
        <v>0.42910894161378998</v>
      </c>
      <c r="E82" s="9">
        <v>0</v>
      </c>
      <c r="F82" s="10">
        <v>1</v>
      </c>
    </row>
    <row r="83" spans="1:6" x14ac:dyDescent="0.25">
      <c r="A83" s="8" t="s">
        <v>28</v>
      </c>
      <c r="B83" s="10">
        <v>50</v>
      </c>
      <c r="C83" s="9">
        <v>0.17530319483760001</v>
      </c>
      <c r="D83" s="9">
        <v>0.17530319483760001</v>
      </c>
      <c r="E83" s="9">
        <v>0</v>
      </c>
      <c r="F83" s="10">
        <v>1</v>
      </c>
    </row>
    <row r="84" spans="1:6" x14ac:dyDescent="0.25">
      <c r="A84" s="8" t="s">
        <v>33</v>
      </c>
      <c r="B84" s="10">
        <v>25</v>
      </c>
      <c r="C84" s="9">
        <v>0.35700074851222002</v>
      </c>
      <c r="D84" s="9">
        <v>0.35743453355560001</v>
      </c>
      <c r="E84" s="9">
        <v>-4.3378504337850002E-4</v>
      </c>
      <c r="F84" s="10">
        <v>1</v>
      </c>
    </row>
    <row r="85" spans="1:6" x14ac:dyDescent="0.25">
      <c r="A85" s="8" t="s">
        <v>14</v>
      </c>
      <c r="B85" s="10">
        <v>35</v>
      </c>
      <c r="C85" s="9">
        <v>1.8075523997992001E-2</v>
      </c>
      <c r="D85" s="9">
        <v>1.8178055008246E-2</v>
      </c>
      <c r="E85" s="9">
        <v>-1.025310102531E-4</v>
      </c>
      <c r="F85" s="10">
        <v>1</v>
      </c>
    </row>
    <row r="86" spans="1:6" x14ac:dyDescent="0.25">
      <c r="A86" s="8" t="s">
        <v>31</v>
      </c>
      <c r="B86" s="10">
        <v>50</v>
      </c>
      <c r="C86" s="9">
        <v>1.3316572052807001E-2</v>
      </c>
      <c r="D86" s="9">
        <v>1.3316572052807001E-2</v>
      </c>
      <c r="E86" s="9">
        <v>0</v>
      </c>
      <c r="F86" s="10">
        <v>1</v>
      </c>
    </row>
    <row r="87" spans="1:6" x14ac:dyDescent="0.25">
      <c r="A87" s="8" t="s">
        <v>15</v>
      </c>
      <c r="B87" s="10">
        <v>50</v>
      </c>
      <c r="C87" s="9">
        <v>3.1125090342009002E-3</v>
      </c>
      <c r="D87" s="9">
        <v>3.2110965440597002E-3</v>
      </c>
      <c r="E87" s="9">
        <v>-9.8587509858751E-5</v>
      </c>
      <c r="F87" s="10">
        <v>1</v>
      </c>
    </row>
    <row r="88" spans="1:6" x14ac:dyDescent="0.25">
      <c r="A88" s="8" t="s">
        <v>16</v>
      </c>
      <c r="B88" s="10">
        <v>100</v>
      </c>
      <c r="C88" s="9">
        <v>1.4019977715637999</v>
      </c>
      <c r="D88" s="9">
        <v>1.4019977715637999</v>
      </c>
      <c r="E88" s="9">
        <v>0</v>
      </c>
      <c r="F88" s="10">
        <v>1</v>
      </c>
    </row>
    <row r="89" spans="1:6" x14ac:dyDescent="0.25">
      <c r="A89" s="8" t="s">
        <v>32</v>
      </c>
      <c r="B89" s="10">
        <v>25</v>
      </c>
      <c r="C89" s="9">
        <v>0.16879714132071</v>
      </c>
      <c r="D89" s="9">
        <v>0.16941824263281999</v>
      </c>
      <c r="E89" s="9">
        <v>-6.2110131211013005E-4</v>
      </c>
      <c r="F89" s="10">
        <v>1</v>
      </c>
    </row>
    <row r="90" spans="1:6" x14ac:dyDescent="0.25">
      <c r="A90" s="7" t="s">
        <v>39</v>
      </c>
      <c r="B90" s="10">
        <v>50</v>
      </c>
      <c r="C90" s="9">
        <v>-3.1713975516992887</v>
      </c>
      <c r="D90" s="9">
        <v>4.4085778178667967</v>
      </c>
      <c r="E90" s="9">
        <v>-7.5799753695660712</v>
      </c>
      <c r="F90" s="10">
        <v>1</v>
      </c>
    </row>
    <row r="91" spans="1:6" x14ac:dyDescent="0.25">
      <c r="A91" s="8" t="s">
        <v>44</v>
      </c>
      <c r="B91" s="10">
        <v>25</v>
      </c>
      <c r="C91" s="9">
        <v>6.8197814088750003E-2</v>
      </c>
      <c r="D91" s="9">
        <v>6.8448752887132994E-2</v>
      </c>
      <c r="E91" s="9">
        <v>-2.5093879838335002E-4</v>
      </c>
      <c r="F91" s="10">
        <v>1</v>
      </c>
    </row>
    <row r="92" spans="1:6" x14ac:dyDescent="0.25">
      <c r="A92" s="8" t="s">
        <v>42</v>
      </c>
      <c r="B92" s="10">
        <v>50</v>
      </c>
      <c r="C92" s="9">
        <v>0.82351825342118001</v>
      </c>
      <c r="D92" s="9">
        <v>0.82351825342118001</v>
      </c>
      <c r="E92" s="9">
        <v>0</v>
      </c>
      <c r="F92" s="10">
        <v>1</v>
      </c>
    </row>
    <row r="93" spans="1:6" x14ac:dyDescent="0.25">
      <c r="A93" s="8" t="s">
        <v>45</v>
      </c>
      <c r="B93" s="10">
        <v>50</v>
      </c>
      <c r="C93" s="9">
        <v>-6.8387700521869998</v>
      </c>
      <c r="D93" s="9">
        <v>0.51833820590822</v>
      </c>
      <c r="E93" s="9">
        <v>-7.3571082580951996</v>
      </c>
      <c r="F93" s="10">
        <v>1</v>
      </c>
    </row>
    <row r="94" spans="1:6" x14ac:dyDescent="0.25">
      <c r="A94" s="8" t="s">
        <v>19</v>
      </c>
      <c r="B94" s="10">
        <v>50</v>
      </c>
      <c r="C94" s="9">
        <v>6.3600300433921994E-2</v>
      </c>
      <c r="D94" s="9">
        <v>0.28342268781773999</v>
      </c>
      <c r="E94" s="9">
        <v>-0.21982238738382001</v>
      </c>
      <c r="F94" s="10">
        <v>1</v>
      </c>
    </row>
    <row r="95" spans="1:6" x14ac:dyDescent="0.25">
      <c r="A95" s="8" t="s">
        <v>41</v>
      </c>
      <c r="B95" s="10">
        <v>25</v>
      </c>
      <c r="C95" s="9">
        <v>8.0289953485685003E-2</v>
      </c>
      <c r="D95" s="9">
        <v>8.0347310925314996E-2</v>
      </c>
      <c r="E95" s="9">
        <v>-5.7357439630480999E-5</v>
      </c>
      <c r="F95" s="10">
        <v>1</v>
      </c>
    </row>
    <row r="96" spans="1:6" x14ac:dyDescent="0.25">
      <c r="A96" s="8" t="s">
        <v>33</v>
      </c>
      <c r="B96" s="10">
        <v>25</v>
      </c>
      <c r="C96" s="9">
        <v>0.72118136853758996</v>
      </c>
      <c r="D96" s="9">
        <v>0.72205766275417005</v>
      </c>
      <c r="E96" s="9">
        <v>-8.7629421657679004E-4</v>
      </c>
      <c r="F96" s="10">
        <v>1</v>
      </c>
    </row>
    <row r="97" spans="1:6" x14ac:dyDescent="0.25">
      <c r="A97" s="8" t="s">
        <v>43</v>
      </c>
      <c r="B97" s="10">
        <v>50</v>
      </c>
      <c r="C97" s="9">
        <v>1.3813323481555999</v>
      </c>
      <c r="D97" s="9">
        <v>1.3813323481555999</v>
      </c>
      <c r="E97" s="9">
        <v>0</v>
      </c>
      <c r="F97" s="10">
        <v>1</v>
      </c>
    </row>
    <row r="98" spans="1:6" x14ac:dyDescent="0.25">
      <c r="A98" s="8" t="s">
        <v>14</v>
      </c>
      <c r="B98" s="10">
        <v>35</v>
      </c>
      <c r="C98" s="9">
        <v>3.6514576477029E-2</v>
      </c>
      <c r="D98" s="9">
        <v>3.6721700564583001E-2</v>
      </c>
      <c r="E98" s="9">
        <v>-2.0712408755450999E-4</v>
      </c>
      <c r="F98" s="10">
        <v>1</v>
      </c>
    </row>
    <row r="99" spans="1:6" x14ac:dyDescent="0.25">
      <c r="A99" s="8" t="s">
        <v>40</v>
      </c>
      <c r="B99" s="10">
        <v>50</v>
      </c>
      <c r="C99" s="9">
        <v>0.13917358396794</v>
      </c>
      <c r="D99" s="9">
        <v>0.13917358396794</v>
      </c>
      <c r="E99" s="9">
        <v>0</v>
      </c>
      <c r="F99" s="10">
        <v>1</v>
      </c>
    </row>
    <row r="100" spans="1:6" x14ac:dyDescent="0.25">
      <c r="A100" s="8" t="s">
        <v>15</v>
      </c>
      <c r="B100" s="10">
        <v>50</v>
      </c>
      <c r="C100" s="9">
        <v>1.2575231476265001E-2</v>
      </c>
      <c r="D100" s="9">
        <v>1.2973547029255E-2</v>
      </c>
      <c r="E100" s="9">
        <v>-3.9831555298945002E-4</v>
      </c>
      <c r="F100" s="10">
        <v>1</v>
      </c>
    </row>
    <row r="101" spans="1:6" x14ac:dyDescent="0.25">
      <c r="A101" s="8" t="s">
        <v>32</v>
      </c>
      <c r="B101" s="10">
        <v>25</v>
      </c>
      <c r="C101" s="9">
        <v>0.34098907044374999</v>
      </c>
      <c r="D101" s="9">
        <v>0.34224376443566001</v>
      </c>
      <c r="E101" s="9">
        <v>-1.2546939919168001E-3</v>
      </c>
      <c r="F101" s="10">
        <v>1</v>
      </c>
    </row>
    <row r="102" spans="1:6" x14ac:dyDescent="0.25">
      <c r="A102" s="7" t="s">
        <v>46</v>
      </c>
      <c r="B102" s="10">
        <v>50</v>
      </c>
      <c r="C102" s="9">
        <v>2.9396105750287216</v>
      </c>
      <c r="D102" s="9">
        <v>82.664899186093677</v>
      </c>
      <c r="E102" s="9">
        <v>-79.725288611064926</v>
      </c>
      <c r="F102" s="10">
        <v>1</v>
      </c>
    </row>
    <row r="103" spans="1:6" x14ac:dyDescent="0.25">
      <c r="A103" s="8" t="s">
        <v>51</v>
      </c>
      <c r="B103" s="10">
        <v>50</v>
      </c>
      <c r="C103" s="9">
        <v>0.73739963188461999</v>
      </c>
      <c r="D103" s="9">
        <v>0.74284630406086005</v>
      </c>
      <c r="E103" s="9">
        <v>-5.4466721762462004E-3</v>
      </c>
      <c r="F103" s="10">
        <v>1</v>
      </c>
    </row>
    <row r="104" spans="1:6" x14ac:dyDescent="0.25">
      <c r="A104" s="8" t="s">
        <v>50</v>
      </c>
      <c r="B104" s="10">
        <v>50</v>
      </c>
      <c r="C104" s="9">
        <v>1.1998030025777999</v>
      </c>
      <c r="D104" s="9">
        <v>1.1998030025777999</v>
      </c>
      <c r="E104" s="9">
        <v>0</v>
      </c>
      <c r="F104" s="10">
        <v>1</v>
      </c>
    </row>
    <row r="105" spans="1:6" x14ac:dyDescent="0.25">
      <c r="A105" s="8" t="s">
        <v>48</v>
      </c>
      <c r="B105" s="10">
        <v>50</v>
      </c>
      <c r="C105" s="9">
        <v>18.298622898114001</v>
      </c>
      <c r="D105" s="9">
        <v>18.298622898114001</v>
      </c>
      <c r="E105" s="9">
        <v>0</v>
      </c>
      <c r="F105" s="10">
        <v>1</v>
      </c>
    </row>
    <row r="106" spans="1:6" x14ac:dyDescent="0.25">
      <c r="A106" s="8" t="s">
        <v>11</v>
      </c>
      <c r="B106" s="10">
        <v>50</v>
      </c>
      <c r="C106" s="9">
        <v>-29.388351144152999</v>
      </c>
      <c r="D106" s="9">
        <v>46.090875392020003</v>
      </c>
      <c r="E106" s="9">
        <v>-75.479226536173002</v>
      </c>
      <c r="F106" s="10">
        <v>1</v>
      </c>
    </row>
    <row r="107" spans="1:6" x14ac:dyDescent="0.25">
      <c r="A107" s="8" t="s">
        <v>52</v>
      </c>
      <c r="B107" s="10">
        <v>50</v>
      </c>
      <c r="C107" s="9">
        <v>3.2178823312078002</v>
      </c>
      <c r="D107" s="9">
        <v>3.2178823312078002</v>
      </c>
      <c r="E107" s="9">
        <v>0</v>
      </c>
      <c r="F107" s="10">
        <v>1</v>
      </c>
    </row>
    <row r="108" spans="1:6" x14ac:dyDescent="0.25">
      <c r="A108" s="8" t="s">
        <v>290</v>
      </c>
      <c r="B108" s="10">
        <v>50</v>
      </c>
      <c r="C108" s="9">
        <v>2.3851370948129</v>
      </c>
      <c r="D108" s="9">
        <v>6.5778217823776002</v>
      </c>
      <c r="E108" s="9">
        <v>-4.1926846875647001</v>
      </c>
      <c r="F108" s="10">
        <v>1</v>
      </c>
    </row>
    <row r="109" spans="1:6" x14ac:dyDescent="0.25">
      <c r="A109" s="8" t="s">
        <v>49</v>
      </c>
      <c r="B109" s="10">
        <v>50</v>
      </c>
      <c r="C109" s="9">
        <v>6.4891167605845999</v>
      </c>
      <c r="D109" s="9">
        <v>6.5370474757355996</v>
      </c>
      <c r="E109" s="9">
        <v>-4.7930715150966002E-2</v>
      </c>
      <c r="F109" s="10">
        <v>1</v>
      </c>
    </row>
    <row r="110" spans="1:6" x14ac:dyDescent="0.25">
      <c r="A110" s="7" t="s">
        <v>53</v>
      </c>
      <c r="B110" s="10">
        <v>100</v>
      </c>
      <c r="C110" s="9">
        <v>32.844390359666747</v>
      </c>
      <c r="D110" s="9">
        <v>32.858342415003996</v>
      </c>
      <c r="E110" s="9">
        <v>-1.3952055337311101E-2</v>
      </c>
      <c r="F110" s="10">
        <v>1</v>
      </c>
    </row>
    <row r="111" spans="1:6" x14ac:dyDescent="0.25">
      <c r="A111" s="8" t="s">
        <v>51</v>
      </c>
      <c r="B111" s="10">
        <v>25</v>
      </c>
      <c r="C111" s="9">
        <v>0.38691427672429002</v>
      </c>
      <c r="D111" s="9">
        <v>0.38833795584033998</v>
      </c>
      <c r="E111" s="9">
        <v>-1.4236791160521E-3</v>
      </c>
      <c r="F111" s="10">
        <v>1</v>
      </c>
    </row>
    <row r="112" spans="1:6" x14ac:dyDescent="0.25">
      <c r="A112" s="8" t="s">
        <v>54</v>
      </c>
      <c r="B112" s="10">
        <v>35</v>
      </c>
      <c r="C112" s="9">
        <v>0.22975845195408001</v>
      </c>
      <c r="D112" s="9">
        <v>0.22975845195408001</v>
      </c>
      <c r="E112" s="9">
        <v>0</v>
      </c>
      <c r="F112" s="10">
        <v>1</v>
      </c>
    </row>
    <row r="113" spans="1:6" x14ac:dyDescent="0.25">
      <c r="A113" s="8" t="s">
        <v>50</v>
      </c>
      <c r="B113" s="10">
        <v>50</v>
      </c>
      <c r="C113" s="9">
        <v>0.31361066406679</v>
      </c>
      <c r="D113" s="9">
        <v>0.31361066406679</v>
      </c>
      <c r="E113" s="9">
        <v>0</v>
      </c>
      <c r="F113" s="10">
        <v>1</v>
      </c>
    </row>
    <row r="114" spans="1:6" x14ac:dyDescent="0.25">
      <c r="A114" s="8" t="s">
        <v>48</v>
      </c>
      <c r="B114" s="10">
        <v>50</v>
      </c>
      <c r="C114" s="9">
        <v>4.7829879290647996</v>
      </c>
      <c r="D114" s="9">
        <v>4.7829879290647996</v>
      </c>
      <c r="E114" s="9">
        <v>0</v>
      </c>
      <c r="F114" s="10">
        <v>1</v>
      </c>
    </row>
    <row r="115" spans="1:6" x14ac:dyDescent="0.25">
      <c r="A115" s="8" t="s">
        <v>47</v>
      </c>
      <c r="B115" s="10">
        <v>25</v>
      </c>
      <c r="C115" s="9">
        <v>7.0231290210608996</v>
      </c>
      <c r="D115" s="9">
        <v>7.0231290210608996</v>
      </c>
      <c r="E115" s="9">
        <v>0</v>
      </c>
      <c r="F115" s="10">
        <v>1</v>
      </c>
    </row>
    <row r="116" spans="1:6" x14ac:dyDescent="0.25">
      <c r="A116" s="8" t="s">
        <v>52</v>
      </c>
      <c r="B116" s="10">
        <v>50</v>
      </c>
      <c r="C116" s="9">
        <v>0.63495301566108997</v>
      </c>
      <c r="D116" s="9">
        <v>0.63495301566108997</v>
      </c>
      <c r="E116" s="9">
        <v>0</v>
      </c>
      <c r="F116" s="10">
        <v>1</v>
      </c>
    </row>
    <row r="117" spans="1:6" x14ac:dyDescent="0.25">
      <c r="A117" s="8" t="s">
        <v>16</v>
      </c>
      <c r="B117" s="10">
        <v>100</v>
      </c>
      <c r="C117" s="9">
        <v>16.068191365960999</v>
      </c>
      <c r="D117" s="9">
        <v>16.068191365960999</v>
      </c>
      <c r="E117" s="9">
        <v>0</v>
      </c>
      <c r="F117" s="10">
        <v>1</v>
      </c>
    </row>
    <row r="118" spans="1:6" x14ac:dyDescent="0.25">
      <c r="A118" s="8" t="s">
        <v>49</v>
      </c>
      <c r="B118" s="10">
        <v>25</v>
      </c>
      <c r="C118" s="9">
        <v>3.4048456351738001</v>
      </c>
      <c r="D118" s="9">
        <v>3.4173740113950002</v>
      </c>
      <c r="E118" s="9">
        <v>-1.2528376221259E-2</v>
      </c>
      <c r="F118" s="10">
        <v>1</v>
      </c>
    </row>
    <row r="119" spans="1:6" x14ac:dyDescent="0.25">
      <c r="A119" s="7" t="s">
        <v>55</v>
      </c>
      <c r="B119" s="10">
        <v>100</v>
      </c>
      <c r="C119" s="9">
        <v>0</v>
      </c>
      <c r="D119" s="9">
        <v>0</v>
      </c>
      <c r="E119" s="9">
        <v>0</v>
      </c>
      <c r="F119" s="10">
        <v>1</v>
      </c>
    </row>
    <row r="120" spans="1:6" x14ac:dyDescent="0.25">
      <c r="A120" s="8" t="s">
        <v>51</v>
      </c>
      <c r="B120" s="10">
        <v>25</v>
      </c>
      <c r="C120" s="9">
        <v>0</v>
      </c>
      <c r="D120" s="9">
        <v>0</v>
      </c>
      <c r="E120" s="9">
        <v>0</v>
      </c>
      <c r="F120" s="10">
        <v>1</v>
      </c>
    </row>
    <row r="121" spans="1:6" x14ac:dyDescent="0.25">
      <c r="A121" s="8" t="s">
        <v>50</v>
      </c>
      <c r="B121" s="10">
        <v>50</v>
      </c>
      <c r="C121" s="9">
        <v>0</v>
      </c>
      <c r="D121" s="9">
        <v>0</v>
      </c>
      <c r="E121" s="9">
        <v>0</v>
      </c>
      <c r="F121" s="10">
        <v>1</v>
      </c>
    </row>
    <row r="122" spans="1:6" x14ac:dyDescent="0.25">
      <c r="A122" s="8" t="s">
        <v>56</v>
      </c>
      <c r="B122" s="10">
        <v>35</v>
      </c>
      <c r="C122" s="9">
        <v>0</v>
      </c>
      <c r="D122" s="9">
        <v>0</v>
      </c>
      <c r="E122" s="9">
        <v>0</v>
      </c>
      <c r="F122" s="10">
        <v>1</v>
      </c>
    </row>
    <row r="123" spans="1:6" x14ac:dyDescent="0.25">
      <c r="A123" s="8" t="s">
        <v>48</v>
      </c>
      <c r="B123" s="10">
        <v>50</v>
      </c>
      <c r="C123" s="9">
        <v>0</v>
      </c>
      <c r="D123" s="9">
        <v>0</v>
      </c>
      <c r="E123" s="9">
        <v>0</v>
      </c>
      <c r="F123" s="10">
        <v>1</v>
      </c>
    </row>
    <row r="124" spans="1:6" x14ac:dyDescent="0.25">
      <c r="A124" s="8" t="s">
        <v>57</v>
      </c>
      <c r="B124" s="10">
        <v>35</v>
      </c>
      <c r="C124" s="9">
        <v>0</v>
      </c>
      <c r="D124" s="9">
        <v>0</v>
      </c>
      <c r="E124" s="9">
        <v>0</v>
      </c>
      <c r="F124" s="10">
        <v>1</v>
      </c>
    </row>
    <row r="125" spans="1:6" x14ac:dyDescent="0.25">
      <c r="A125" s="8" t="s">
        <v>47</v>
      </c>
      <c r="B125" s="10">
        <v>25</v>
      </c>
      <c r="C125" s="9">
        <v>0</v>
      </c>
      <c r="D125" s="9">
        <v>0</v>
      </c>
      <c r="E125" s="9">
        <v>0</v>
      </c>
      <c r="F125" s="10">
        <v>1</v>
      </c>
    </row>
    <row r="126" spans="1:6" x14ac:dyDescent="0.25">
      <c r="A126" s="8" t="s">
        <v>52</v>
      </c>
      <c r="B126" s="10">
        <v>50</v>
      </c>
      <c r="C126" s="9">
        <v>0</v>
      </c>
      <c r="D126" s="9">
        <v>0</v>
      </c>
      <c r="E126" s="9">
        <v>0</v>
      </c>
      <c r="F126" s="10">
        <v>1</v>
      </c>
    </row>
    <row r="127" spans="1:6" x14ac:dyDescent="0.25">
      <c r="A127" s="8" t="s">
        <v>16</v>
      </c>
      <c r="B127" s="10">
        <v>100</v>
      </c>
      <c r="C127" s="9">
        <v>0</v>
      </c>
      <c r="D127" s="9">
        <v>0</v>
      </c>
      <c r="E127" s="9">
        <v>0</v>
      </c>
      <c r="F127" s="10">
        <v>1</v>
      </c>
    </row>
    <row r="128" spans="1:6" x14ac:dyDescent="0.25">
      <c r="A128" s="7" t="s">
        <v>58</v>
      </c>
      <c r="B128" s="10">
        <v>100</v>
      </c>
      <c r="C128" s="9">
        <v>0</v>
      </c>
      <c r="D128" s="9">
        <v>0</v>
      </c>
      <c r="E128" s="9">
        <v>0</v>
      </c>
      <c r="F128" s="10">
        <v>1</v>
      </c>
    </row>
    <row r="129" spans="1:6" x14ac:dyDescent="0.25">
      <c r="A129" s="8" t="s">
        <v>51</v>
      </c>
      <c r="B129" s="10">
        <v>25</v>
      </c>
      <c r="C129" s="9">
        <v>0</v>
      </c>
      <c r="D129" s="9">
        <v>0</v>
      </c>
      <c r="E129" s="9">
        <v>0</v>
      </c>
      <c r="F129" s="10">
        <v>1</v>
      </c>
    </row>
    <row r="130" spans="1:6" x14ac:dyDescent="0.25">
      <c r="A130" s="8" t="s">
        <v>50</v>
      </c>
      <c r="B130" s="10">
        <v>50</v>
      </c>
      <c r="C130" s="9">
        <v>0</v>
      </c>
      <c r="D130" s="9">
        <v>0</v>
      </c>
      <c r="E130" s="9">
        <v>0</v>
      </c>
      <c r="F130" s="10">
        <v>1</v>
      </c>
    </row>
    <row r="131" spans="1:6" x14ac:dyDescent="0.25">
      <c r="A131" s="8" t="s">
        <v>48</v>
      </c>
      <c r="B131" s="10">
        <v>50</v>
      </c>
      <c r="C131" s="9">
        <v>0</v>
      </c>
      <c r="D131" s="9">
        <v>0</v>
      </c>
      <c r="E131" s="9">
        <v>0</v>
      </c>
      <c r="F131" s="10">
        <v>1</v>
      </c>
    </row>
    <row r="132" spans="1:6" x14ac:dyDescent="0.25">
      <c r="A132" s="8" t="s">
        <v>57</v>
      </c>
      <c r="B132" s="10">
        <v>35</v>
      </c>
      <c r="C132" s="9">
        <v>0</v>
      </c>
      <c r="D132" s="9">
        <v>0</v>
      </c>
      <c r="E132" s="9">
        <v>0</v>
      </c>
      <c r="F132" s="10">
        <v>1</v>
      </c>
    </row>
    <row r="133" spans="1:6" x14ac:dyDescent="0.25">
      <c r="A133" s="8" t="s">
        <v>47</v>
      </c>
      <c r="B133" s="10">
        <v>25</v>
      </c>
      <c r="C133" s="9">
        <v>0</v>
      </c>
      <c r="D133" s="9">
        <v>0</v>
      </c>
      <c r="E133" s="9">
        <v>0</v>
      </c>
      <c r="F133" s="10">
        <v>1</v>
      </c>
    </row>
    <row r="134" spans="1:6" x14ac:dyDescent="0.25">
      <c r="A134" s="8" t="s">
        <v>52</v>
      </c>
      <c r="B134" s="10">
        <v>50</v>
      </c>
      <c r="C134" s="9">
        <v>0</v>
      </c>
      <c r="D134" s="9">
        <v>0</v>
      </c>
      <c r="E134" s="9">
        <v>0</v>
      </c>
      <c r="F134" s="10">
        <v>1</v>
      </c>
    </row>
    <row r="135" spans="1:6" x14ac:dyDescent="0.25">
      <c r="A135" s="8" t="s">
        <v>16</v>
      </c>
      <c r="B135" s="10">
        <v>100</v>
      </c>
      <c r="C135" s="9">
        <v>0</v>
      </c>
      <c r="D135" s="9">
        <v>0</v>
      </c>
      <c r="E135" s="9">
        <v>0</v>
      </c>
      <c r="F135" s="10">
        <v>1</v>
      </c>
    </row>
    <row r="136" spans="1:6" x14ac:dyDescent="0.25">
      <c r="A136" s="8" t="s">
        <v>49</v>
      </c>
      <c r="B136" s="10">
        <v>25</v>
      </c>
      <c r="C136" s="9">
        <v>0</v>
      </c>
      <c r="D136" s="9">
        <v>0</v>
      </c>
      <c r="E136" s="9">
        <v>0</v>
      </c>
      <c r="F136" s="10">
        <v>1</v>
      </c>
    </row>
    <row r="137" spans="1:6" x14ac:dyDescent="0.25">
      <c r="A137" s="7" t="s">
        <v>59</v>
      </c>
      <c r="B137" s="10">
        <v>100</v>
      </c>
      <c r="C137" s="9">
        <v>0</v>
      </c>
      <c r="D137" s="9">
        <v>0</v>
      </c>
      <c r="E137" s="9">
        <v>0</v>
      </c>
      <c r="F137" s="10">
        <v>2</v>
      </c>
    </row>
    <row r="138" spans="1:6" x14ac:dyDescent="0.25">
      <c r="A138" s="8" t="s">
        <v>48</v>
      </c>
      <c r="B138" s="10">
        <v>50</v>
      </c>
      <c r="C138" s="9">
        <v>0</v>
      </c>
      <c r="D138" s="9">
        <v>0</v>
      </c>
      <c r="E138" s="9">
        <v>0</v>
      </c>
      <c r="F138" s="10">
        <v>1</v>
      </c>
    </row>
    <row r="139" spans="1:6" x14ac:dyDescent="0.25">
      <c r="A139" s="8" t="s">
        <v>61</v>
      </c>
      <c r="B139" s="10">
        <v>35</v>
      </c>
      <c r="C139" s="9">
        <v>0</v>
      </c>
      <c r="D139" s="9">
        <v>0</v>
      </c>
      <c r="E139" s="9">
        <v>0</v>
      </c>
      <c r="F139" s="10">
        <v>1</v>
      </c>
    </row>
    <row r="140" spans="1:6" x14ac:dyDescent="0.25">
      <c r="A140" s="8" t="s">
        <v>24</v>
      </c>
      <c r="B140" s="10">
        <v>25</v>
      </c>
      <c r="C140" s="9">
        <v>0</v>
      </c>
      <c r="D140" s="9">
        <v>0</v>
      </c>
      <c r="E140" s="9">
        <v>0</v>
      </c>
      <c r="F140" s="10">
        <v>1</v>
      </c>
    </row>
    <row r="141" spans="1:6" x14ac:dyDescent="0.25">
      <c r="A141" s="8" t="s">
        <v>63</v>
      </c>
      <c r="B141" s="10">
        <v>50</v>
      </c>
      <c r="C141" s="9">
        <v>0</v>
      </c>
      <c r="D141" s="9">
        <v>0</v>
      </c>
      <c r="E141" s="9">
        <v>0</v>
      </c>
      <c r="F141" s="10">
        <v>1</v>
      </c>
    </row>
    <row r="142" spans="1:6" x14ac:dyDescent="0.25">
      <c r="A142" s="8" t="s">
        <v>66</v>
      </c>
      <c r="B142" s="10">
        <v>50</v>
      </c>
      <c r="C142" s="9">
        <v>0</v>
      </c>
      <c r="D142" s="9">
        <v>0</v>
      </c>
      <c r="E142" s="9">
        <v>0</v>
      </c>
      <c r="F142" s="10">
        <v>1</v>
      </c>
    </row>
    <row r="143" spans="1:6" x14ac:dyDescent="0.25">
      <c r="A143" s="8" t="s">
        <v>19</v>
      </c>
      <c r="B143" s="10">
        <v>50</v>
      </c>
      <c r="C143" s="9">
        <v>0</v>
      </c>
      <c r="D143" s="9">
        <v>0</v>
      </c>
      <c r="E143" s="9">
        <v>0</v>
      </c>
      <c r="F143" s="10">
        <v>1</v>
      </c>
    </row>
    <row r="144" spans="1:6" x14ac:dyDescent="0.25">
      <c r="A144" s="8" t="s">
        <v>65</v>
      </c>
      <c r="B144" s="10">
        <v>100</v>
      </c>
      <c r="C144" s="9">
        <v>0</v>
      </c>
      <c r="D144" s="9">
        <v>0</v>
      </c>
      <c r="E144" s="9">
        <v>0</v>
      </c>
      <c r="F144" s="10">
        <v>2</v>
      </c>
    </row>
    <row r="145" spans="1:6" x14ac:dyDescent="0.25">
      <c r="A145" s="8" t="s">
        <v>64</v>
      </c>
      <c r="B145" s="10">
        <v>50</v>
      </c>
      <c r="C145" s="9">
        <v>0</v>
      </c>
      <c r="D145" s="9">
        <v>0</v>
      </c>
      <c r="E145" s="9">
        <v>0</v>
      </c>
      <c r="F145" s="10">
        <v>1</v>
      </c>
    </row>
    <row r="146" spans="1:6" x14ac:dyDescent="0.25">
      <c r="A146" s="8" t="s">
        <v>49</v>
      </c>
      <c r="B146" s="10">
        <v>25</v>
      </c>
      <c r="C146" s="9">
        <v>0</v>
      </c>
      <c r="D146" s="9">
        <v>0</v>
      </c>
      <c r="E146" s="9">
        <v>0</v>
      </c>
      <c r="F146" s="10">
        <v>1</v>
      </c>
    </row>
    <row r="147" spans="1:6" x14ac:dyDescent="0.25">
      <c r="A147" s="8" t="s">
        <v>62</v>
      </c>
      <c r="B147" s="10">
        <v>50</v>
      </c>
      <c r="C147" s="9">
        <v>0</v>
      </c>
      <c r="D147" s="9">
        <v>0</v>
      </c>
      <c r="E147" s="9">
        <v>0</v>
      </c>
      <c r="F147" s="10">
        <v>1</v>
      </c>
    </row>
    <row r="148" spans="1:6" x14ac:dyDescent="0.25">
      <c r="A148" s="8" t="s">
        <v>60</v>
      </c>
      <c r="B148" s="10">
        <v>25</v>
      </c>
      <c r="C148" s="9">
        <v>0</v>
      </c>
      <c r="D148" s="9">
        <v>0</v>
      </c>
      <c r="E148" s="9">
        <v>0</v>
      </c>
      <c r="F148" s="10">
        <v>1</v>
      </c>
    </row>
    <row r="149" spans="1:6" x14ac:dyDescent="0.25">
      <c r="A149" s="7" t="s">
        <v>75</v>
      </c>
      <c r="B149" s="10">
        <v>100</v>
      </c>
      <c r="C149" s="9">
        <v>30.588483278388001</v>
      </c>
      <c r="D149" s="9">
        <v>30.588483278388001</v>
      </c>
      <c r="E149" s="9">
        <v>0</v>
      </c>
      <c r="F149" s="10">
        <v>1</v>
      </c>
    </row>
    <row r="150" spans="1:6" x14ac:dyDescent="0.25">
      <c r="A150" s="8" t="s">
        <v>16</v>
      </c>
      <c r="B150" s="10">
        <v>100</v>
      </c>
      <c r="C150" s="9">
        <v>30.588483278388001</v>
      </c>
      <c r="D150" s="9">
        <v>30.588483278388001</v>
      </c>
      <c r="E150" s="9">
        <v>0</v>
      </c>
      <c r="F150" s="10">
        <v>1</v>
      </c>
    </row>
    <row r="151" spans="1:6" x14ac:dyDescent="0.25">
      <c r="A151" s="6" t="s">
        <v>68</v>
      </c>
      <c r="B151" s="10">
        <v>100</v>
      </c>
      <c r="C151" s="9">
        <v>101.08368868392286</v>
      </c>
      <c r="D151" s="9">
        <v>101.23567522318994</v>
      </c>
      <c r="E151" s="9">
        <v>-0.15198653926707784</v>
      </c>
      <c r="F151" s="10">
        <v>1</v>
      </c>
    </row>
    <row r="152" spans="1:6" x14ac:dyDescent="0.25">
      <c r="A152" s="7" t="s">
        <v>295</v>
      </c>
      <c r="B152" s="10">
        <v>100</v>
      </c>
      <c r="C152" s="9">
        <v>3.5389177414607458</v>
      </c>
      <c r="D152" s="9">
        <v>3.6909042807278283</v>
      </c>
      <c r="E152" s="9">
        <v>-0.15198653926707784</v>
      </c>
      <c r="F152" s="10">
        <v>1</v>
      </c>
    </row>
    <row r="153" spans="1:6" x14ac:dyDescent="0.25">
      <c r="A153" s="8" t="s">
        <v>44</v>
      </c>
      <c r="B153" s="10">
        <v>100</v>
      </c>
      <c r="C153" s="9">
        <v>1.5885527862056999E-2</v>
      </c>
      <c r="D153" s="9">
        <v>1.6002863508658999E-2</v>
      </c>
      <c r="E153" s="9">
        <v>-1.1733564660199E-4</v>
      </c>
      <c r="F153" s="10">
        <v>1</v>
      </c>
    </row>
    <row r="154" spans="1:6" x14ac:dyDescent="0.25">
      <c r="A154" s="8" t="s">
        <v>299</v>
      </c>
      <c r="B154" s="10">
        <v>100</v>
      </c>
      <c r="C154" s="9">
        <v>0.35497226302911999</v>
      </c>
      <c r="D154" s="9">
        <v>0.35497226302911999</v>
      </c>
      <c r="E154" s="9">
        <v>0</v>
      </c>
      <c r="F154" s="10">
        <v>1</v>
      </c>
    </row>
    <row r="155" spans="1:6" x14ac:dyDescent="0.25">
      <c r="A155" s="8" t="s">
        <v>296</v>
      </c>
      <c r="B155" s="10">
        <v>100</v>
      </c>
      <c r="C155" s="9">
        <v>0.54051499221099997</v>
      </c>
      <c r="D155" s="9">
        <v>0.54051499221099997</v>
      </c>
      <c r="E155" s="9">
        <v>0</v>
      </c>
      <c r="F155" s="10">
        <v>1</v>
      </c>
    </row>
    <row r="156" spans="1:6" x14ac:dyDescent="0.25">
      <c r="A156" s="8" t="s">
        <v>63</v>
      </c>
      <c r="B156" s="10">
        <v>100</v>
      </c>
      <c r="C156" s="9">
        <v>0.14590948307714999</v>
      </c>
      <c r="D156" s="9">
        <v>0.14590948307714999</v>
      </c>
      <c r="E156" s="9">
        <v>0</v>
      </c>
      <c r="F156" s="10">
        <v>1</v>
      </c>
    </row>
    <row r="157" spans="1:6" x14ac:dyDescent="0.25">
      <c r="A157" s="8" t="s">
        <v>297</v>
      </c>
      <c r="B157" s="10">
        <v>100</v>
      </c>
      <c r="C157" s="9">
        <v>4.3270529902559002E-2</v>
      </c>
      <c r="D157" s="9">
        <v>0.19282691755556999</v>
      </c>
      <c r="E157" s="9">
        <v>-0.14955638765300999</v>
      </c>
      <c r="F157" s="10">
        <v>1</v>
      </c>
    </row>
    <row r="158" spans="1:6" x14ac:dyDescent="0.25">
      <c r="A158" s="8" t="s">
        <v>31</v>
      </c>
      <c r="B158" s="10">
        <v>100</v>
      </c>
      <c r="C158" s="9">
        <v>2.444507234878E-2</v>
      </c>
      <c r="D158" s="9">
        <v>2.444507234878E-2</v>
      </c>
      <c r="E158" s="9">
        <v>0</v>
      </c>
      <c r="F158" s="10">
        <v>1</v>
      </c>
    </row>
    <row r="159" spans="1:6" x14ac:dyDescent="0.25">
      <c r="A159" s="8" t="s">
        <v>16</v>
      </c>
      <c r="B159" s="10">
        <v>100</v>
      </c>
      <c r="C159" s="9">
        <v>1.9864430148532</v>
      </c>
      <c r="D159" s="9">
        <v>1.9864430148532</v>
      </c>
      <c r="E159" s="9">
        <v>0</v>
      </c>
      <c r="F159" s="10">
        <v>1</v>
      </c>
    </row>
    <row r="160" spans="1:6" x14ac:dyDescent="0.25">
      <c r="A160" s="8" t="s">
        <v>49</v>
      </c>
      <c r="B160" s="10">
        <v>100</v>
      </c>
      <c r="C160" s="9">
        <v>0.27958529037219998</v>
      </c>
      <c r="D160" s="9">
        <v>0.28165039775239997</v>
      </c>
      <c r="E160" s="9">
        <v>-2.0651073801950001E-3</v>
      </c>
      <c r="F160" s="10">
        <v>1</v>
      </c>
    </row>
    <row r="161" spans="1:6" x14ac:dyDescent="0.25">
      <c r="A161" s="8" t="s">
        <v>298</v>
      </c>
      <c r="B161" s="10">
        <v>100</v>
      </c>
      <c r="C161" s="9">
        <v>0.14789156780467999</v>
      </c>
      <c r="D161" s="9">
        <v>0.14813927639194999</v>
      </c>
      <c r="E161" s="9">
        <v>-2.4770858727086E-4</v>
      </c>
      <c r="F161" s="10">
        <v>1</v>
      </c>
    </row>
    <row r="162" spans="1:6" x14ac:dyDescent="0.25">
      <c r="A162" s="7" t="s">
        <v>300</v>
      </c>
      <c r="B162" s="10">
        <v>100</v>
      </c>
      <c r="C162" s="9">
        <v>92.437939196884003</v>
      </c>
      <c r="D162" s="9">
        <v>92.437939196884003</v>
      </c>
      <c r="E162" s="9">
        <v>0</v>
      </c>
      <c r="F162" s="10">
        <v>1</v>
      </c>
    </row>
    <row r="163" spans="1:6" x14ac:dyDescent="0.25">
      <c r="A163" s="8" t="s">
        <v>16</v>
      </c>
      <c r="B163" s="10">
        <v>100</v>
      </c>
      <c r="C163" s="9">
        <v>92.437939196884003</v>
      </c>
      <c r="D163" s="9">
        <v>92.437939196884003</v>
      </c>
      <c r="E163" s="9">
        <v>0</v>
      </c>
      <c r="F163" s="10">
        <v>1</v>
      </c>
    </row>
    <row r="164" spans="1:6" x14ac:dyDescent="0.25">
      <c r="A164" s="7" t="s">
        <v>301</v>
      </c>
      <c r="B164" s="10">
        <v>100</v>
      </c>
      <c r="C164" s="9">
        <v>1.7974909131787999</v>
      </c>
      <c r="D164" s="9">
        <v>1.7974909131787999</v>
      </c>
      <c r="E164" s="9">
        <v>0</v>
      </c>
      <c r="F164" s="10">
        <v>1</v>
      </c>
    </row>
    <row r="165" spans="1:6" x14ac:dyDescent="0.25">
      <c r="A165" s="8" t="s">
        <v>302</v>
      </c>
      <c r="B165" s="10">
        <v>100</v>
      </c>
      <c r="C165" s="9">
        <v>1.7974909131787999</v>
      </c>
      <c r="D165" s="9">
        <v>1.7974909131787999</v>
      </c>
      <c r="E165" s="9">
        <v>0</v>
      </c>
      <c r="F165" s="10">
        <v>1</v>
      </c>
    </row>
    <row r="166" spans="1:6" x14ac:dyDescent="0.25">
      <c r="A166" s="7" t="s">
        <v>303</v>
      </c>
      <c r="B166" s="10">
        <v>100</v>
      </c>
      <c r="C166" s="9">
        <v>3.3093408323992999</v>
      </c>
      <c r="D166" s="9">
        <v>3.3093408323992999</v>
      </c>
      <c r="E166" s="9">
        <v>0</v>
      </c>
      <c r="F166" s="10">
        <v>1</v>
      </c>
    </row>
    <row r="167" spans="1:6" x14ac:dyDescent="0.25">
      <c r="A167" s="8" t="s">
        <v>16</v>
      </c>
      <c r="B167" s="10">
        <v>100</v>
      </c>
      <c r="C167" s="9">
        <v>3.3093408323992999</v>
      </c>
      <c r="D167" s="9">
        <v>3.3093408323992999</v>
      </c>
      <c r="E167" s="9">
        <v>0</v>
      </c>
      <c r="F167" s="10">
        <v>1</v>
      </c>
    </row>
    <row r="168" spans="1:6" x14ac:dyDescent="0.25">
      <c r="A168" s="6" t="s">
        <v>81</v>
      </c>
      <c r="B168" s="10">
        <v>35</v>
      </c>
      <c r="C168" s="9">
        <v>13.111300630818199</v>
      </c>
      <c r="D168" s="9">
        <v>14.6371596590552</v>
      </c>
      <c r="E168" s="9">
        <v>-1.5258590282369999</v>
      </c>
      <c r="F168" s="10"/>
    </row>
    <row r="169" spans="1:6" x14ac:dyDescent="0.25">
      <c r="A169" s="5" t="s">
        <v>304</v>
      </c>
      <c r="B169" s="10">
        <v>100</v>
      </c>
      <c r="C169" s="9">
        <v>2.6133646238907069</v>
      </c>
      <c r="D169" s="9">
        <v>2.6133646238907069</v>
      </c>
      <c r="E169" s="9">
        <v>0</v>
      </c>
      <c r="F169" s="10">
        <v>1</v>
      </c>
    </row>
    <row r="170" spans="1:6" x14ac:dyDescent="0.25">
      <c r="A170" s="6" t="s">
        <v>89</v>
      </c>
      <c r="B170" s="10">
        <v>100</v>
      </c>
      <c r="C170" s="9">
        <v>2.6133646238907069</v>
      </c>
      <c r="D170" s="9">
        <v>2.6133646238907069</v>
      </c>
      <c r="E170" s="9">
        <v>0</v>
      </c>
      <c r="F170" s="10">
        <v>1</v>
      </c>
    </row>
    <row r="171" spans="1:6" x14ac:dyDescent="0.25">
      <c r="A171" s="7" t="s">
        <v>87</v>
      </c>
      <c r="B171" s="10">
        <v>100</v>
      </c>
      <c r="C171" s="9">
        <v>1.8913878256104999</v>
      </c>
      <c r="D171" s="9">
        <v>1.8913878256104999</v>
      </c>
      <c r="E171" s="9">
        <v>0</v>
      </c>
      <c r="F171" s="10">
        <v>1</v>
      </c>
    </row>
    <row r="172" spans="1:6" x14ac:dyDescent="0.25">
      <c r="A172" s="8" t="s">
        <v>16</v>
      </c>
      <c r="B172" s="10">
        <v>100</v>
      </c>
      <c r="C172" s="9">
        <v>1.8913878256104999</v>
      </c>
      <c r="D172" s="9">
        <v>1.8913878256104999</v>
      </c>
      <c r="E172" s="9">
        <v>0</v>
      </c>
      <c r="F172" s="10">
        <v>1</v>
      </c>
    </row>
    <row r="173" spans="1:6" x14ac:dyDescent="0.25">
      <c r="A173" s="7" t="s">
        <v>90</v>
      </c>
      <c r="B173" s="10">
        <v>100</v>
      </c>
      <c r="C173" s="9">
        <v>0.66359929507572002</v>
      </c>
      <c r="D173" s="9">
        <v>0.66359929507572002</v>
      </c>
      <c r="E173" s="9">
        <v>0</v>
      </c>
      <c r="F173" s="10">
        <v>1</v>
      </c>
    </row>
    <row r="174" spans="1:6" x14ac:dyDescent="0.25">
      <c r="A174" s="8" t="s">
        <v>16</v>
      </c>
      <c r="B174" s="10">
        <v>100</v>
      </c>
      <c r="C174" s="9">
        <v>0.66359929507572002</v>
      </c>
      <c r="D174" s="9">
        <v>0.66359929507572002</v>
      </c>
      <c r="E174" s="9">
        <v>0</v>
      </c>
      <c r="F174" s="10">
        <v>1</v>
      </c>
    </row>
    <row r="175" spans="1:6" x14ac:dyDescent="0.25">
      <c r="A175" s="7" t="s">
        <v>91</v>
      </c>
      <c r="B175" s="10">
        <v>100</v>
      </c>
      <c r="C175" s="9">
        <v>5.8377503204487001E-2</v>
      </c>
      <c r="D175" s="9">
        <v>5.8377503204487001E-2</v>
      </c>
      <c r="E175" s="9">
        <v>0</v>
      </c>
      <c r="F175" s="10">
        <v>1</v>
      </c>
    </row>
    <row r="176" spans="1:6" x14ac:dyDescent="0.25">
      <c r="A176" s="8" t="s">
        <v>16</v>
      </c>
      <c r="B176" s="10">
        <v>100</v>
      </c>
      <c r="C176" s="9">
        <v>5.8377503204487001E-2</v>
      </c>
      <c r="D176" s="9">
        <v>5.8377503204487001E-2</v>
      </c>
      <c r="E176" s="9">
        <v>0</v>
      </c>
      <c r="F176" s="10">
        <v>1</v>
      </c>
    </row>
    <row r="177" spans="1:6" x14ac:dyDescent="0.25">
      <c r="A177" s="5" t="s">
        <v>275</v>
      </c>
      <c r="B177" s="10">
        <v>50</v>
      </c>
      <c r="C177" s="9">
        <v>0.33579594299408005</v>
      </c>
      <c r="D177" s="9">
        <v>0.34531076201070404</v>
      </c>
      <c r="E177" s="9">
        <v>-9.5148190166217846E-3</v>
      </c>
      <c r="F177" s="10">
        <v>1</v>
      </c>
    </row>
    <row r="178" spans="1:6" x14ac:dyDescent="0.25">
      <c r="A178" s="6" t="s">
        <v>6</v>
      </c>
      <c r="B178" s="10">
        <v>50</v>
      </c>
      <c r="C178" s="9">
        <v>0.33579594299408005</v>
      </c>
      <c r="D178" s="9">
        <v>0.34531076201070404</v>
      </c>
      <c r="E178" s="9">
        <v>-9.5148190166217846E-3</v>
      </c>
      <c r="F178" s="10">
        <v>1</v>
      </c>
    </row>
    <row r="179" spans="1:6" x14ac:dyDescent="0.25">
      <c r="A179" s="7" t="s">
        <v>83</v>
      </c>
      <c r="B179" s="10">
        <v>50</v>
      </c>
      <c r="C179" s="9">
        <v>0.33579594299408005</v>
      </c>
      <c r="D179" s="9">
        <v>0.34531076201070404</v>
      </c>
      <c r="E179" s="9">
        <v>-9.5148190166217846E-3</v>
      </c>
      <c r="F179" s="10">
        <v>1</v>
      </c>
    </row>
    <row r="180" spans="1:6" x14ac:dyDescent="0.25">
      <c r="A180" s="8" t="s">
        <v>86</v>
      </c>
      <c r="B180" s="10">
        <v>50</v>
      </c>
      <c r="C180" s="9">
        <v>4.9975540357084E-2</v>
      </c>
      <c r="D180" s="9">
        <v>5.8795036590317998E-2</v>
      </c>
      <c r="E180" s="9">
        <v>-8.8194962332337999E-3</v>
      </c>
      <c r="F180" s="10">
        <v>1</v>
      </c>
    </row>
    <row r="181" spans="1:6" x14ac:dyDescent="0.25">
      <c r="A181" s="8" t="s">
        <v>84</v>
      </c>
      <c r="B181" s="10">
        <v>50</v>
      </c>
      <c r="C181" s="9">
        <v>0.25694521926611003</v>
      </c>
      <c r="D181" s="9">
        <v>0.25747675140517001</v>
      </c>
      <c r="E181" s="9">
        <v>-5.3153213905649996E-4</v>
      </c>
      <c r="F181" s="10">
        <v>1</v>
      </c>
    </row>
    <row r="182" spans="1:6" x14ac:dyDescent="0.25">
      <c r="A182" s="8" t="s">
        <v>14</v>
      </c>
      <c r="B182" s="10">
        <v>35</v>
      </c>
      <c r="C182" s="9">
        <v>2.8875183370886001E-2</v>
      </c>
      <c r="D182" s="9">
        <v>2.9038974015216001E-2</v>
      </c>
      <c r="E182" s="9">
        <v>-1.6379064433148601E-4</v>
      </c>
      <c r="F182" s="10">
        <v>1</v>
      </c>
    </row>
    <row r="183" spans="1:6" x14ac:dyDescent="0.25">
      <c r="A183" s="5" t="s">
        <v>305</v>
      </c>
      <c r="B183" s="10">
        <v>100</v>
      </c>
      <c r="C183" s="9">
        <v>2.6161680904778</v>
      </c>
      <c r="D183" s="9">
        <v>2.6161680904778</v>
      </c>
      <c r="E183" s="9">
        <v>0</v>
      </c>
      <c r="F183" s="10">
        <v>1</v>
      </c>
    </row>
    <row r="184" spans="1:6" x14ac:dyDescent="0.25">
      <c r="A184" s="6" t="s">
        <v>68</v>
      </c>
      <c r="B184" s="10">
        <v>100</v>
      </c>
      <c r="C184" s="9">
        <v>2.6161680904778</v>
      </c>
      <c r="D184" s="9">
        <v>2.6161680904778</v>
      </c>
      <c r="E184" s="9">
        <v>0</v>
      </c>
      <c r="F184" s="10">
        <v>1</v>
      </c>
    </row>
    <row r="185" spans="1:6" x14ac:dyDescent="0.25">
      <c r="A185" s="7" t="s">
        <v>92</v>
      </c>
      <c r="B185" s="10">
        <v>100</v>
      </c>
      <c r="C185" s="9">
        <v>1.3416246617834999</v>
      </c>
      <c r="D185" s="9">
        <v>1.3416246617834999</v>
      </c>
      <c r="E185" s="9">
        <v>0</v>
      </c>
      <c r="F185" s="10">
        <v>1</v>
      </c>
    </row>
    <row r="186" spans="1:6" x14ac:dyDescent="0.25">
      <c r="A186" s="8" t="s">
        <v>16</v>
      </c>
      <c r="B186" s="10">
        <v>100</v>
      </c>
      <c r="C186" s="9">
        <v>1.3416246617834999</v>
      </c>
      <c r="D186" s="9">
        <v>1.3416246617834999</v>
      </c>
      <c r="E186" s="9">
        <v>0</v>
      </c>
      <c r="F186" s="10">
        <v>1</v>
      </c>
    </row>
    <row r="187" spans="1:6" x14ac:dyDescent="0.25">
      <c r="A187" s="7" t="s">
        <v>93</v>
      </c>
      <c r="B187" s="10">
        <v>100</v>
      </c>
      <c r="C187" s="9">
        <v>1.2745434286943</v>
      </c>
      <c r="D187" s="9">
        <v>1.2745434286943</v>
      </c>
      <c r="E187" s="9">
        <v>0</v>
      </c>
      <c r="F187" s="10">
        <v>1</v>
      </c>
    </row>
    <row r="188" spans="1:6" x14ac:dyDescent="0.25">
      <c r="A188" s="8" t="s">
        <v>16</v>
      </c>
      <c r="B188" s="10">
        <v>100</v>
      </c>
      <c r="C188" s="9">
        <v>1.2745434286943</v>
      </c>
      <c r="D188" s="9">
        <v>1.2745434286943</v>
      </c>
      <c r="E188" s="9">
        <v>0</v>
      </c>
      <c r="F188" s="10">
        <v>1</v>
      </c>
    </row>
    <row r="189" spans="1:6" x14ac:dyDescent="0.25">
      <c r="A189" s="5" t="s">
        <v>95</v>
      </c>
      <c r="B189" s="10">
        <v>100</v>
      </c>
      <c r="C189" s="9">
        <v>209.39510467299488</v>
      </c>
      <c r="D189" s="9">
        <v>342.43451471330798</v>
      </c>
      <c r="E189" s="9">
        <v>-133.03941004031338</v>
      </c>
      <c r="F189" s="10">
        <v>2</v>
      </c>
    </row>
  </sheetData>
  <pageMargins left="0.7" right="0.7" top="0.78740157499999996" bottom="0.78740157499999996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mportCSV">
                <anchor moveWithCells="1" sizeWithCells="1">
                  <from>
                    <xdr:col>0</xdr:col>
                    <xdr:colOff>1047750</xdr:colOff>
                    <xdr:row>1</xdr:row>
                    <xdr:rowOff>133350</xdr:rowOff>
                  </from>
                  <to>
                    <xdr:col>0</xdr:col>
                    <xdr:colOff>2762250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e2s</vt:lpstr>
      <vt:lpstr>Pivot</vt:lpstr>
      <vt:lpstr>GWP-Übersicht</vt:lpstr>
      <vt:lpstr>Bauteile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Krainer</dc:creator>
  <cp:lastModifiedBy>Paul Krainer</cp:lastModifiedBy>
  <dcterms:created xsi:type="dcterms:W3CDTF">2025-10-30T15:29:11Z</dcterms:created>
  <dcterms:modified xsi:type="dcterms:W3CDTF">2025-11-19T10:17:09Z</dcterms:modified>
</cp:coreProperties>
</file>